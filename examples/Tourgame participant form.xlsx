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\PycharmProjects\tour-pool\"/>
    </mc:Choice>
  </mc:AlternateContent>
  <xr:revisionPtr revIDLastSave="0" documentId="13_ncr:1_{EFE5FF44-D29F-4AE8-865F-A6A1FA12806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ules" sheetId="1" r:id="rId1"/>
    <sheet name="form" sheetId="2" r:id="rId2"/>
    <sheet name="riders" sheetId="3" r:id="rId3"/>
  </sheets>
  <definedNames>
    <definedName name="AG2R_LA_Mondiale">riders!$E$1:$E$11</definedName>
    <definedName name="Astana_Pro_Team">riders!$F$1:$F$11</definedName>
    <definedName name="BMC_Racing_Team">riders!$G$1:$G$11</definedName>
    <definedName name="Bora_argon_18">riders!$R$1:$R$11</definedName>
    <definedName name="Bretagne_Seche_Environnement">riders!#REF!</definedName>
    <definedName name="Cannondale_Garmin">riders!$H$1:$H$11</definedName>
    <definedName name="Cofidis_Solutions_Credits">riders!$S$1:$S$11</definedName>
    <definedName name="Etixx_Quick_Step">riders!$B$1:$B$11</definedName>
    <definedName name="FDJ">riders!$I$1:$I$11</definedName>
    <definedName name="Giant___Alpecin">riders!$D$1:$D$11</definedName>
    <definedName name="IAM_Cycling">riders!$J$1:$J$11</definedName>
    <definedName name="klu">riders!$B$1:$B$11</definedName>
    <definedName name="Lampre_Merida">riders!$K$1:$K$11</definedName>
    <definedName name="Lotto_Soudal">riders!$C$1:$C$11</definedName>
    <definedName name="LottoNL_Jumbo">riders!$A$1:$A$11</definedName>
    <definedName name="Movistar_Team">riders!$L$1:$L$11</definedName>
    <definedName name="MTN_Qhubeka">riders!$T$1:$T$11</definedName>
    <definedName name="Orica_GreenEDGE">riders!$M$1:$M$11</definedName>
    <definedName name="Renner" localSheetId="2">riders!$A$2:$A$10</definedName>
    <definedName name="Rider">form!$B$4</definedName>
    <definedName name="SKY">riders!$A$2:$A$10</definedName>
    <definedName name="Team_Europcar">riders!$U$1:$U$11</definedName>
    <definedName name="Team_Katusha">riders!$N$1:$N$11</definedName>
    <definedName name="Team_Sky">riders!$O$1:$O$11</definedName>
    <definedName name="Tinkoff_Saxo">riders!$P$1:$P$11</definedName>
    <definedName name="Trek_Factory_Racing">riders!$Q$1:$Q$11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8" i="1" l="1"/>
  <c r="D41" i="1"/>
  <c r="D40" i="1"/>
  <c r="D39" i="1"/>
  <c r="D34" i="2"/>
</calcChain>
</file>

<file path=xl/sharedStrings.xml><?xml version="1.0" encoding="utf-8"?>
<sst xmlns="http://schemas.openxmlformats.org/spreadsheetml/2006/main" count="578" uniqueCount="490">
  <si>
    <t xml:space="preserve">SKY </t>
  </si>
  <si>
    <t>FROOME Christopher (UK)</t>
  </si>
  <si>
    <t>KIRYIENKA Vasil (WRu)</t>
  </si>
  <si>
    <t>LOPEZ GARCIA David (Spa)</t>
  </si>
  <si>
    <t>NIEVE ITURALDE Mikel (Spa)</t>
  </si>
  <si>
    <t>PORTE Richie (Aus)</t>
  </si>
  <si>
    <t>THOMAS Geraint (UK)</t>
  </si>
  <si>
    <t>EISEL Bernhard (Oos)</t>
  </si>
  <si>
    <t>ZANDIO Xabier (Spa)</t>
  </si>
  <si>
    <t>PATE Danny (USA)</t>
  </si>
  <si>
    <t xml:space="preserve">BELKIN </t>
  </si>
  <si>
    <t>AG2R</t>
  </si>
  <si>
    <t xml:space="preserve">ASTANA </t>
  </si>
  <si>
    <t xml:space="preserve">BMC </t>
  </si>
  <si>
    <t xml:space="preserve">CANNONDALE </t>
  </si>
  <si>
    <t xml:space="preserve">COFIDIS </t>
  </si>
  <si>
    <t xml:space="preserve">GARMIN - SHARP </t>
  </si>
  <si>
    <t xml:space="preserve">IAM CYCLING </t>
  </si>
  <si>
    <t xml:space="preserve">LAMPRE </t>
  </si>
  <si>
    <t xml:space="preserve">LOTTO - BELISOL </t>
  </si>
  <si>
    <t xml:space="preserve">TEAM MOVISTAR </t>
  </si>
  <si>
    <t xml:space="preserve">OMEGA PHARMA - QUICKSTEP </t>
  </si>
  <si>
    <t xml:space="preserve">ORICA GREENEDGE </t>
  </si>
  <si>
    <t>TINKOFF-SAXO</t>
  </si>
  <si>
    <t>TREK FACTORY TEAM</t>
  </si>
  <si>
    <t xml:space="preserve">EUROPCAR </t>
  </si>
  <si>
    <t xml:space="preserve">KATUSHA </t>
  </si>
  <si>
    <t xml:space="preserve">NETAPP - ENDURA </t>
  </si>
  <si>
    <t xml:space="preserve">BRETAGNE </t>
  </si>
  <si>
    <t>BOOM Lars (Ned)</t>
  </si>
  <si>
    <t>BARDET Romain (Fra)</t>
  </si>
  <si>
    <t>NIBALI Vincenzo (Ita)</t>
  </si>
  <si>
    <t>ATAPUMA Jhon Darwin (Col)</t>
  </si>
  <si>
    <t>SAGAN Peter (Slowa)</t>
  </si>
  <si>
    <t>NAVARRO Daniel (Spa)</t>
  </si>
  <si>
    <t>PINOT Thibaut (Fra)</t>
  </si>
  <si>
    <t>FRANK Mathias (Zwi)</t>
  </si>
  <si>
    <t>HORNER Christopher (USA)</t>
  </si>
  <si>
    <t>VAN DEN BROECK Jurgen (Bel)</t>
  </si>
  <si>
    <t>VALVERDE Alejandro (Spa)</t>
  </si>
  <si>
    <t>CAVENDISH Mark (UK)</t>
  </si>
  <si>
    <t>GERRANS Simon (Aus)</t>
  </si>
  <si>
    <t>CONTADOR Alberto (Spa)</t>
  </si>
  <si>
    <t>SCHLECK Andy (Lux)</t>
  </si>
  <si>
    <t>COQUARD Bryan (Fra)</t>
  </si>
  <si>
    <t>TROFIMOV Yury (Rus)</t>
  </si>
  <si>
    <t>BARTA Jan (Tsj)</t>
  </si>
  <si>
    <t>FEILLU Brice (Fra)</t>
  </si>
  <si>
    <t>CLEMENT Stef (Ned)</t>
  </si>
  <si>
    <t>CHEREL Mickaël (Fra)</t>
  </si>
  <si>
    <t>SCARPONI Michele (Ita)</t>
  </si>
  <si>
    <t>BURGHARDT Marcus (Dui)</t>
  </si>
  <si>
    <t>VIVIANI Elia (Ita)</t>
  </si>
  <si>
    <t>TAARAMAE Rein (Est)</t>
  </si>
  <si>
    <t>BONNET William (Fra)</t>
  </si>
  <si>
    <t>ACEVEDO Janier Alexis (Col)</t>
  </si>
  <si>
    <t>CHAVANEL Sylvain (Fra)</t>
  </si>
  <si>
    <t>SERPA Jose Rodolfo (Col)</t>
  </si>
  <si>
    <t>GREIPEL André (Dui)</t>
  </si>
  <si>
    <t>KWIATKOWSKI Michal (Pol)</t>
  </si>
  <si>
    <t>MATTHEWS Michael (Aus)</t>
  </si>
  <si>
    <t>HERNANDEZ Jesus (Spa)</t>
  </si>
  <si>
    <t>SCHLECK Frank (Lux)</t>
  </si>
  <si>
    <t>ROLLAND Pierre (Fra)</t>
  </si>
  <si>
    <t>RODRIGUEZ Joaquin (Spa)</t>
  </si>
  <si>
    <t>MACHADO Tiago (Por)</t>
  </si>
  <si>
    <t>BIDEAU Jean-Marc (Fra)</t>
  </si>
  <si>
    <t>KRUIJSWIJK Steven (Ned)</t>
  </si>
  <si>
    <t>DUMOULIN Samuel (Fra)</t>
  </si>
  <si>
    <t>FUGLSANG Jakob (Den)</t>
  </si>
  <si>
    <t>MOINARD Amaël (Fra)</t>
  </si>
  <si>
    <t>BODNAR Maciej (Pol)</t>
  </si>
  <si>
    <t>GARCIA ETXEGIBEL Egoitz (Spa)</t>
  </si>
  <si>
    <t>DELAGE Mickael (Fra)</t>
  </si>
  <si>
    <t>ELMIGER Martin (Zwi)</t>
  </si>
  <si>
    <t>BAK Lars Ytting (Den)</t>
  </si>
  <si>
    <t>ERVITI Imanol (Spa)</t>
  </si>
  <si>
    <t>BAKELANTS Jan (Bel)</t>
  </si>
  <si>
    <t>ALBASINI Michael (Zwi)</t>
  </si>
  <si>
    <t>MAJKA Rafal (Pol)</t>
  </si>
  <si>
    <t>BUSCHE Matthew (USA)</t>
  </si>
  <si>
    <t>VOECKLER Thomas (Fra)</t>
  </si>
  <si>
    <t>ISAYCHEV Wladimir (Rus)</t>
  </si>
  <si>
    <t>DE LA CRUZ David (Spa)</t>
  </si>
  <si>
    <t>DELAPLACE Anthony (Fra)</t>
  </si>
  <si>
    <t>LEEZER Tom (Ned)</t>
  </si>
  <si>
    <t>GASTAUER Ben (Lux)</t>
  </si>
  <si>
    <t>OSS Daniel (Ita)</t>
  </si>
  <si>
    <t>LEMOINE Cyril (Fra)</t>
  </si>
  <si>
    <t>DEMARE Arnaud (Fra)</t>
  </si>
  <si>
    <t>SLAGTER Tom Jelte (Ned)</t>
  </si>
  <si>
    <t>HAUSSLER Heinrich (Aus)</t>
  </si>
  <si>
    <t>CIMOLAI Davide (Ita)</t>
  </si>
  <si>
    <t>DE CLERCQ Bart (Bel)</t>
  </si>
  <si>
    <t>GADRET John (Fra)</t>
  </si>
  <si>
    <t>GOLAS Michal (Pol)</t>
  </si>
  <si>
    <t>CLARKE Simon (Aus)</t>
  </si>
  <si>
    <t>BENNATI Daniele (Ita)</t>
  </si>
  <si>
    <t>CANCELLARA Fabian (Zwi)</t>
  </si>
  <si>
    <t>ARASHIRO Yukiya (Jap)</t>
  </si>
  <si>
    <t>KRISTOFF Alexander (Noo)</t>
  </si>
  <si>
    <t>DEMPSTER Zakkari (Aus)</t>
  </si>
  <si>
    <t>FONSECA Armindo (Fra)</t>
  </si>
  <si>
    <t>MOLLEMA Bauke (Ned)</t>
  </si>
  <si>
    <t>KADRI Blel (Fra)</t>
  </si>
  <si>
    <t>GRIVKO Andriy (Oek)</t>
  </si>
  <si>
    <t>SCHÄR Michael (Zwi)</t>
  </si>
  <si>
    <t>DE MARCHI Alessandro (Ita)</t>
  </si>
  <si>
    <t>EDET Nicolas (Fra)</t>
  </si>
  <si>
    <t>JEANNESSON Arnold (Fra)</t>
  </si>
  <si>
    <t>TALANSKY Andrew (USA)</t>
  </si>
  <si>
    <t>HOLLENSTEIN Reto (Zwi)</t>
  </si>
  <si>
    <t>DURASEK Kristijan (Kro)</t>
  </si>
  <si>
    <t>GALLOPIN Tony (Fra)</t>
  </si>
  <si>
    <t>HERRADA LOPEZ Jesús (Spa)</t>
  </si>
  <si>
    <t>MARTIN Tony (Dui)</t>
  </si>
  <si>
    <t>GOSS Matthew Harley (Aus)</t>
  </si>
  <si>
    <t>ROCHE Nicholas (Ier)</t>
  </si>
  <si>
    <t>IRIZAR ARANBURU Markel (Spa)</t>
  </si>
  <si>
    <t>GAUTIER Cyril (Fra)</t>
  </si>
  <si>
    <t>PAOLINI Luca (Ita)</t>
  </si>
  <si>
    <t>HUZARSKI Bartosz (Pol)</t>
  </si>
  <si>
    <t>GERARD Arnaud (Fra)</t>
  </si>
  <si>
    <t>TANKINK Bram (Ned)</t>
  </si>
  <si>
    <t>MONTAGUTI Matteo (Fra)</t>
  </si>
  <si>
    <t>GRUZDEV Dmitriy (Kaz)</t>
  </si>
  <si>
    <t>STETINA Peter (USA)</t>
  </si>
  <si>
    <t>KING Edward (USA)</t>
  </si>
  <si>
    <t>MATE MARDONES Luis Angel (Spa)</t>
  </si>
  <si>
    <t>LADAGNOUS Matthieu (Fra)</t>
  </si>
  <si>
    <t>SUMMEREN Johan van (Bel)</t>
  </si>
  <si>
    <t>KLUGE Roger (Dui)</t>
  </si>
  <si>
    <t>COSTA Rui (Por)</t>
  </si>
  <si>
    <t>HANSEN Adam (Aus)</t>
  </si>
  <si>
    <t>INTXAUSTI Benat (Spa)</t>
  </si>
  <si>
    <t>PETACCHI Alessandro (Ita)</t>
  </si>
  <si>
    <t>HAYMAN Mathew (Aus)</t>
  </si>
  <si>
    <t>ROGERS Michael (Aus)</t>
  </si>
  <si>
    <t>RAST Grégory (Zwi)</t>
  </si>
  <si>
    <t>GENE Yohann (Fra)</t>
  </si>
  <si>
    <t>PORSEV Alexander (Rus)</t>
  </si>
  <si>
    <t>KONIG Leopold (Tsj)</t>
  </si>
  <si>
    <t>SEPULVEDA Eduardo (Arg)</t>
  </si>
  <si>
    <t>TEN DAM Laurens (Ned)</t>
  </si>
  <si>
    <t>MINARD Sébastien (Fra)</t>
  </si>
  <si>
    <t>AVERMAET Greg van (Bel)</t>
  </si>
  <si>
    <t>KOREN Kristjan (Slov)</t>
  </si>
  <si>
    <t>MOLARD Rudy (Fra)</t>
  </si>
  <si>
    <t>PINEAU Cedric (Fra)</t>
  </si>
  <si>
    <t>PINEAU Jérôme (Fra)</t>
  </si>
  <si>
    <t>MODOLO Sacha (Ita)</t>
  </si>
  <si>
    <t>HENDERSON Gregory (NZe)</t>
  </si>
  <si>
    <t>IZAGUIRRE Jon (Spa)</t>
  </si>
  <si>
    <t>RENSHAW Mark (Aus)</t>
  </si>
  <si>
    <t>IMPEY Daryl (ZAf)</t>
  </si>
  <si>
    <t>POPPEL Danny van (Ned)</t>
  </si>
  <si>
    <t>PICHOT Alexandre (Fra)</t>
  </si>
  <si>
    <t>SILIN Egor (Rus)</t>
  </si>
  <si>
    <t>PIMENTA José Joao (Por)</t>
  </si>
  <si>
    <t>VACHON Florian (Fra)</t>
  </si>
  <si>
    <t>VANMARCKE Sep (Bel)</t>
  </si>
  <si>
    <t>PERAUD Jean Christophe (Fra)</t>
  </si>
  <si>
    <t>KANGERT Tanel (Est)</t>
  </si>
  <si>
    <t>GARDEREN Tejay van (USA)</t>
  </si>
  <si>
    <t>PETIT Adrien (Fra)</t>
  </si>
  <si>
    <t>ROY Jérémy (Fra)</t>
  </si>
  <si>
    <t>REICHENBACH Sébastien (Zwi)</t>
  </si>
  <si>
    <t>ROELANDTS Jurgen (Bel)</t>
  </si>
  <si>
    <t>PLAZA MOLINA Ruben (Spa)</t>
  </si>
  <si>
    <t>TERPSTRA Niki (Ned)</t>
  </si>
  <si>
    <t>KEUKELEIRE Jens (Bel)</t>
  </si>
  <si>
    <t>VOIGT Jens (Dui)</t>
  </si>
  <si>
    <t>QUEMENEUR Perrig (Fra)</t>
  </si>
  <si>
    <t>SMOEKOELIS Gatis (Let)</t>
  </si>
  <si>
    <t>SCHILLINGER Andreas (Dui)</t>
  </si>
  <si>
    <t>GUILLOU Florian (Fra)</t>
  </si>
  <si>
    <t>WYNANTS Maarten (Bel)</t>
  </si>
  <si>
    <t>RIBLON Christophe (Fra)</t>
  </si>
  <si>
    <t>VANOTTI Alessandro (Ita)</t>
  </si>
  <si>
    <t>VELITS Peter (Slowa)</t>
  </si>
  <si>
    <t>MARCATO Marco (Ita)</t>
  </si>
  <si>
    <t>SIMON Julien (Fra)</t>
  </si>
  <si>
    <t>VICHOT Arthur (Fra)</t>
  </si>
  <si>
    <t>WYSS Marcel (Zwi)</t>
  </si>
  <si>
    <t>RICHEZE Ariel Maximiliano (Arg)</t>
  </si>
  <si>
    <t>SIEBERG Marcel (Dui)</t>
  </si>
  <si>
    <t>ROJAS GIL Jose Joaquin (Spa)</t>
  </si>
  <si>
    <t>TRENTIN Matteo (Ita)</t>
  </si>
  <si>
    <t>LANCASTER Brett (Aus)</t>
  </si>
  <si>
    <t>ZUBELDIA AGIRRE Haimar (Spa)</t>
  </si>
  <si>
    <t>REZA Kevin (Fra)</t>
  </si>
  <si>
    <t>SPILAK Simon (Slov)</t>
  </si>
  <si>
    <t>VOSS Paul (Dui)</t>
  </si>
  <si>
    <t>JARRIER Benoit (Fra)</t>
  </si>
  <si>
    <t>WESTRA Lieuwe (Ned)</t>
  </si>
  <si>
    <t>MARINO Jean Marc (Fra)</t>
  </si>
  <si>
    <t xml:space="preserve"> GIANT-SHIMANO </t>
  </si>
  <si>
    <t>SABATINI Fabio (Ita)</t>
  </si>
  <si>
    <t>VALLS Rafael (Spa)</t>
  </si>
  <si>
    <t>KITTEL Marcel (Dui)</t>
  </si>
  <si>
    <t>CURVERS Roy (Ned)</t>
  </si>
  <si>
    <t>DE KORT Koen (Ned)</t>
  </si>
  <si>
    <t>DEGENKOLB John (Dui)</t>
  </si>
  <si>
    <t>DEVENYNS Dries (Bel)</t>
  </si>
  <si>
    <t>DUMOULIN Tom (Ned)</t>
  </si>
  <si>
    <t>JI Cheng (Chi)</t>
  </si>
  <si>
    <t>TIMMER Albert (Ned)</t>
  </si>
  <si>
    <t>VEELERS Tom (Ned)</t>
  </si>
  <si>
    <t>IGLINSKIY Maxim (Kaz)</t>
  </si>
  <si>
    <t>BAUER Jack (USA)</t>
  </si>
  <si>
    <t>HOWES Alex (USA)</t>
  </si>
  <si>
    <t>KING Benjamin (USA)</t>
  </si>
  <si>
    <t>LANGEVELD Sebastian (Ned)</t>
  </si>
  <si>
    <t>NAVARDAUSKAS Ramunas (Lit)</t>
  </si>
  <si>
    <t>OLIVEIRA Nelson (Por)</t>
  </si>
  <si>
    <t>VISCONTI Giovanni (Ita)</t>
  </si>
  <si>
    <t>MORKOV Michael (Den)</t>
  </si>
  <si>
    <t>TOSATTO Matteo (Ita)</t>
  </si>
  <si>
    <t>PAULINHO Sergio (Por)</t>
  </si>
  <si>
    <t xml:space="preserve"> FDJ</t>
  </si>
  <si>
    <t>ca. 60%</t>
  </si>
  <si>
    <t>ca. 25%</t>
  </si>
  <si>
    <t>ca. 10%</t>
  </si>
  <si>
    <t>ca. 5%</t>
  </si>
  <si>
    <t>Cofidis</t>
  </si>
  <si>
    <t>INEOS Grenadiers</t>
  </si>
  <si>
    <t>Rules:</t>
  </si>
  <si>
    <t>Choose 1 rider from each squad and score the most points through the below scorecards!</t>
  </si>
  <si>
    <t>That makes 23 total riders to fill in for the 'form' sheet (don't forger reserve riders)</t>
  </si>
  <si>
    <t>Points to be gained:</t>
  </si>
  <si>
    <t>per stage:</t>
  </si>
  <si>
    <t>placement</t>
  </si>
  <si>
    <t>points</t>
  </si>
  <si>
    <t>After each stage (except final stage):</t>
  </si>
  <si>
    <t>yellow jersey after stage</t>
  </si>
  <si>
    <t>KOM jersey after stage</t>
  </si>
  <si>
    <t>The one on top of the classifications counts here</t>
  </si>
  <si>
    <t>Not the one actually wearing the jersey</t>
  </si>
  <si>
    <t>Final rankings in Paris:</t>
  </si>
  <si>
    <t>yellow</t>
  </si>
  <si>
    <t>green</t>
  </si>
  <si>
    <t>KOM</t>
  </si>
  <si>
    <t>green jersey after stage</t>
  </si>
  <si>
    <t>Best Dutchie in final classifications:</t>
  </si>
  <si>
    <t>Yellow</t>
  </si>
  <si>
    <t>Green</t>
  </si>
  <si>
    <t>White</t>
  </si>
  <si>
    <t>In the sheet 'Riders' you can find an overview of all teams and (provisional) riders, as of yet announced.</t>
  </si>
  <si>
    <t>It is unclear if these riders will subsequently start</t>
  </si>
  <si>
    <t>Therefore there is an option to submit reserve riders, that will take the first selected rider's place if he does not start in the first stage.</t>
  </si>
  <si>
    <t>If the reserve rider also does not start you are out of luck</t>
  </si>
  <si>
    <t>Also fill in your best Dutchies for bonus points</t>
  </si>
  <si>
    <t>For the unlikely case of 2 teams ending up tied, please answer the tie breaker question</t>
  </si>
  <si>
    <t>What is the time gap of the last rider in the general classification after the last stage?</t>
  </si>
  <si>
    <t>Division of prize money</t>
  </si>
  <si>
    <t>1st place</t>
  </si>
  <si>
    <t>2nd place</t>
  </si>
  <si>
    <t>3rd place</t>
  </si>
  <si>
    <t>name:</t>
  </si>
  <si>
    <t>Rider</t>
  </si>
  <si>
    <t>Team</t>
  </si>
  <si>
    <t>Points</t>
  </si>
  <si>
    <t>Reserve-rider</t>
  </si>
  <si>
    <t>Gap last placed rider:</t>
  </si>
  <si>
    <t>hours</t>
  </si>
  <si>
    <t>minutes</t>
  </si>
  <si>
    <t>seconds</t>
  </si>
  <si>
    <t>Total</t>
  </si>
  <si>
    <t>POGAČAR Tadej</t>
  </si>
  <si>
    <t>TRENTIN Matteo</t>
  </si>
  <si>
    <t>SOLER Marc</t>
  </si>
  <si>
    <t>ROGLIČ Primož</t>
  </si>
  <si>
    <t>BENOOT Tiesj</t>
  </si>
  <si>
    <t>KUSS Sepp</t>
  </si>
  <si>
    <t>VAN AERT Wout</t>
  </si>
  <si>
    <t>VINGEGAARD Jonas</t>
  </si>
  <si>
    <t>??th place</t>
  </si>
  <si>
    <t>placement of consolation prize will depend on the number of participants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</si>
  <si>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</si>
  <si>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</si>
  <si>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</si>
  <si>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</si>
  <si>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</si>
  <si>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</si>
  <si>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</si>
  <si>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</si>
  <si>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</si>
  <si>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</si>
  <si>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11nt</t>
  </si>
  <si>
    <t>12th</t>
  </si>
  <si>
    <t>13th</t>
  </si>
  <si>
    <t>14th</t>
  </si>
  <si>
    <t>15th</t>
  </si>
  <si>
    <t>UAE Team Emirates - XRG</t>
  </si>
  <si>
    <t>Team Visma | Lease a Bike</t>
  </si>
  <si>
    <t>Soudal Quick-Step</t>
  </si>
  <si>
    <t>EF Education - EasyPost</t>
  </si>
  <si>
    <t>Intermarché - Wanty</t>
  </si>
  <si>
    <t>Bahrain - Victorious</t>
  </si>
  <si>
    <t>Red Bull - BORA - hansgrohe</t>
  </si>
  <si>
    <t>Lidl - Trek</t>
  </si>
  <si>
    <t>Groupama - FDJ</t>
  </si>
  <si>
    <t>Alpecin - Deceuninck</t>
  </si>
  <si>
    <t xml:space="preserve">Tudor Pro Cycling Team </t>
  </si>
  <si>
    <t>Team Jayco AlUla</t>
  </si>
  <si>
    <t>Arkéa - B&amp;B Hotels</t>
  </si>
  <si>
    <t>Movistar Team</t>
  </si>
  <si>
    <t>Decathlon AG2R La Mondiale Team</t>
  </si>
  <si>
    <t>XDS Astana Team</t>
  </si>
  <si>
    <t xml:space="preserve">Team TotalEnergies </t>
  </si>
  <si>
    <t>Team Picnic PostNL</t>
  </si>
  <si>
    <t xml:space="preserve">Israel - Premier Tech </t>
  </si>
  <si>
    <t xml:space="preserve">Lotto </t>
  </si>
  <si>
    <t xml:space="preserve">Uno-X Mobility </t>
  </si>
  <si>
    <t>EVENEPOEL Remco</t>
  </si>
  <si>
    <t>HEALY Ben</t>
  </si>
  <si>
    <t>GIRMAY Biniam</t>
  </si>
  <si>
    <t>BUITRAGO Santiago</t>
  </si>
  <si>
    <t>THOMAS Geraint</t>
  </si>
  <si>
    <t>MILAN Jonathan</t>
  </si>
  <si>
    <t>MARTIN Guillaume</t>
  </si>
  <si>
    <t>PHILIPSEN Jasper</t>
  </si>
  <si>
    <t>ALAPHILIPPE Julian</t>
  </si>
  <si>
    <t>O'CONNOR Ben</t>
  </si>
  <si>
    <t>VAUQUELIN Kévin</t>
  </si>
  <si>
    <t>MAS Enric</t>
  </si>
  <si>
    <t>GALL Felix</t>
  </si>
  <si>
    <t>BUCHMANN Emanuel</t>
  </si>
  <si>
    <t>TEJADA Harold</t>
  </si>
  <si>
    <t>CRAS Steff</t>
  </si>
  <si>
    <t>ONLEY Oscar</t>
  </si>
  <si>
    <t>WOODS Michael</t>
  </si>
  <si>
    <t>DE LIE Arnaud</t>
  </si>
  <si>
    <t>JOHANNESSEN Tobias Halland</t>
  </si>
  <si>
    <t>ALMEIDA João</t>
  </si>
  <si>
    <t>AFFINI Edoardo</t>
  </si>
  <si>
    <t>CATTANEO Mattia</t>
  </si>
  <si>
    <t>ALBANESE Vincenzo</t>
  </si>
  <si>
    <t>BARRÉ Louis</t>
  </si>
  <si>
    <t>BAUHAUS Phil</t>
  </si>
  <si>
    <t>ARENSMAN Thymen</t>
  </si>
  <si>
    <t>LIPOWITZ Florian</t>
  </si>
  <si>
    <t>CONSONNI Simone</t>
  </si>
  <si>
    <t>ASKEY Lewis</t>
  </si>
  <si>
    <t>DILLIER Silvan</t>
  </si>
  <si>
    <t>DAINESE Alberto</t>
  </si>
  <si>
    <t>DUNBAR Eddie</t>
  </si>
  <si>
    <t>CAPIOT Amaury</t>
  </si>
  <si>
    <t>BARTA Will</t>
  </si>
  <si>
    <t>ARMIRAIL Bruno</t>
  </si>
  <si>
    <t>ARANBURU Alex</t>
  </si>
  <si>
    <t>BALLERINI Davide</t>
  </si>
  <si>
    <t>BURGAUDEAU Mathieu</t>
  </si>
  <si>
    <t>BARGUIL Warren</t>
  </si>
  <si>
    <t>ACKERMANN Pascal</t>
  </si>
  <si>
    <t>BERCKMOES Jenno</t>
  </si>
  <si>
    <t>ABRAHAMSEN Jonas</t>
  </si>
  <si>
    <t>NARVÁEZ Jhonatan</t>
  </si>
  <si>
    <t>EENKHOORN Pascal</t>
  </si>
  <si>
    <t>ASGREEN Kasper</t>
  </si>
  <si>
    <t>BRAET Vito</t>
  </si>
  <si>
    <t>GRADEK Kamil</t>
  </si>
  <si>
    <t>FOSS Tobias</t>
  </si>
  <si>
    <t>MEEUS Jordi</t>
  </si>
  <si>
    <t>NYS Thibau</t>
  </si>
  <si>
    <t>BARTHE Cyril</t>
  </si>
  <si>
    <t>GROVES Kaden</t>
  </si>
  <si>
    <t>HALLER Marco</t>
  </si>
  <si>
    <t>DURBRIDGE Luke</t>
  </si>
  <si>
    <t>COSTIOU Ewen</t>
  </si>
  <si>
    <t>CASTRILLO Pablo</t>
  </si>
  <si>
    <t>BERTHET Clément</t>
  </si>
  <si>
    <t>COQUARD Bryan</t>
  </si>
  <si>
    <t>BOL Cees</t>
  </si>
  <si>
    <t>DELETTRE Alexandre</t>
  </si>
  <si>
    <t>BITTNER Pavel</t>
  </si>
  <si>
    <t>BLACKMORE Joseph</t>
  </si>
  <si>
    <t>DE BUYST Jasper</t>
  </si>
  <si>
    <t>CORT Magnus</t>
  </si>
  <si>
    <t>POLITT Nils</t>
  </si>
  <si>
    <t>CAMPENAERTS Victor</t>
  </si>
  <si>
    <t>MERLIER Tim</t>
  </si>
  <si>
    <t>BAUDIN Alex</t>
  </si>
  <si>
    <t>PAGE Hugo</t>
  </si>
  <si>
    <t>HAIG Jack</t>
  </si>
  <si>
    <t>GANNA Filippo</t>
  </si>
  <si>
    <t>MOSCON Gianni</t>
  </si>
  <si>
    <t>SIMMONS Quinn</t>
  </si>
  <si>
    <t>GRÉGOIRE Romain</t>
  </si>
  <si>
    <t>MEURISSE Xandro</t>
  </si>
  <si>
    <t>HIRSCHI Marc</t>
  </si>
  <si>
    <t>GROENEWEGEN Dylan</t>
  </si>
  <si>
    <t>DÉMARE Arnaud</t>
  </si>
  <si>
    <t>OLIVEIRA Nelson</t>
  </si>
  <si>
    <t>BISSEGGER Stefan</t>
  </si>
  <si>
    <t>IZAGIRRE Ion</t>
  </si>
  <si>
    <t>CHAMPOUSSIN Clément</t>
  </si>
  <si>
    <t>GACHIGNARD Thomas</t>
  </si>
  <si>
    <t>FLYNN Sean</t>
  </si>
  <si>
    <t>BOIVIN Guillaume</t>
  </si>
  <si>
    <t>DRIZNERS Jarrad</t>
  </si>
  <si>
    <t>FREDHEIM Stian</t>
  </si>
  <si>
    <t>SIVAKOV Pavel</t>
  </si>
  <si>
    <t>JORGENSON Matteo</t>
  </si>
  <si>
    <t>PARET-PEINTRE Valentin</t>
  </si>
  <si>
    <t>POWLESS Neilson</t>
  </si>
  <si>
    <t>REX Laurenz</t>
  </si>
  <si>
    <t>MARTINEZ Lenny</t>
  </si>
  <si>
    <t>LAURANCE Axel</t>
  </si>
  <si>
    <t>PITHIE Laurence</t>
  </si>
  <si>
    <t>SKJELMOSE Mattias</t>
  </si>
  <si>
    <t>MADOUAS Valentin</t>
  </si>
  <si>
    <t>RICKAERT Jonas</t>
  </si>
  <si>
    <t>LIENHARD Fabian</t>
  </si>
  <si>
    <t>MEZGEC Luka</t>
  </si>
  <si>
    <t>GARCÍA PIERNA Raúl</t>
  </si>
  <si>
    <t>GARCÍA CORTINA Iván</t>
  </si>
  <si>
    <t>NAESEN Oliver</t>
  </si>
  <si>
    <t>RENARD Alexis</t>
  </si>
  <si>
    <t>FEDOROV Yevgeniy</t>
  </si>
  <si>
    <t>JEANNIÈRE Emilien</t>
  </si>
  <si>
    <t>ANDRESEN Tobias Lund</t>
  </si>
  <si>
    <t>LOUVEL Matis</t>
  </si>
  <si>
    <t>GRIGNARD Sébastien</t>
  </si>
  <si>
    <t>HOELGAARD Markus</t>
  </si>
  <si>
    <t>SCHACHMANN Maximilian</t>
  </si>
  <si>
    <t>SWEENY Harry</t>
  </si>
  <si>
    <t>RUTSCH Jonas</t>
  </si>
  <si>
    <t>MOHORIČ Matej</t>
  </si>
  <si>
    <t>RODRÍGUEZ Carlos</t>
  </si>
  <si>
    <t>VAN DIJKE Mick</t>
  </si>
  <si>
    <t>SKUJIŅŠ Toms</t>
  </si>
  <si>
    <t>PACHER Quentin</t>
  </si>
  <si>
    <t>VAN DER POEL Mathieu</t>
  </si>
  <si>
    <t>MAYRHOFER Marius</t>
  </si>
  <si>
    <t>PLAPP Luke</t>
  </si>
  <si>
    <t>LE BERRE Mathis</t>
  </si>
  <si>
    <t>MÜHLBERGER Gregor</t>
  </si>
  <si>
    <t>PARET-PEINTRE Aurélien</t>
  </si>
  <si>
    <t>TEUNS Dylan</t>
  </si>
  <si>
    <t>HIGUITA Sergio</t>
  </si>
  <si>
    <t>JEGAT Jordan</t>
  </si>
  <si>
    <t>MÄRKL Niklas</t>
  </si>
  <si>
    <t>LUTSENKO Alexey</t>
  </si>
  <si>
    <t>SEPÚLVEDA Eduardo</t>
  </si>
  <si>
    <t>JOHANNESSEN Anders Halland</t>
  </si>
  <si>
    <t>WELLENS Tim</t>
  </si>
  <si>
    <t>VAN LERBERGHE Bert</t>
  </si>
  <si>
    <t>VALGREN Michael</t>
  </si>
  <si>
    <t>VAN SINTMAARTENSDIJK Roel</t>
  </si>
  <si>
    <t>STANNARD Robert</t>
  </si>
  <si>
    <t>SWIFT Connor</t>
  </si>
  <si>
    <t>VAN POPPEL Danny</t>
  </si>
  <si>
    <t>STUYVEN Jasper</t>
  </si>
  <si>
    <t>PENHOËT Paul</t>
  </si>
  <si>
    <t>VERMEERSCH Gianni</t>
  </si>
  <si>
    <t>STORER Michael</t>
  </si>
  <si>
    <t>REINDERS Elmar</t>
  </si>
  <si>
    <t>RODRÍGUEZ Cristián</t>
  </si>
  <si>
    <t>ROMEO Iván</t>
  </si>
  <si>
    <t>SCOTSON Callum</t>
  </si>
  <si>
    <t>THOMAS Benjamin</t>
  </si>
  <si>
    <t>TEUNISSEN Mike</t>
  </si>
  <si>
    <t>TURGIS Anthony</t>
  </si>
  <si>
    <t>NABERMAN Tim</t>
  </si>
  <si>
    <t>NEILANDS Krists</t>
  </si>
  <si>
    <t>VAN EETVELT Lennert</t>
  </si>
  <si>
    <t>LEKNESSUND Andreas</t>
  </si>
  <si>
    <t>YATES Adam</t>
  </si>
  <si>
    <t>YATES Simon</t>
  </si>
  <si>
    <t>VAN WILDER Ilan</t>
  </si>
  <si>
    <t>VAN DEN BERG Marijn</t>
  </si>
  <si>
    <t>ZIMMERMANN Georg</t>
  </si>
  <si>
    <t>WRIGHT Fred</t>
  </si>
  <si>
    <t>WATSON Samuel</t>
  </si>
  <si>
    <t>VLASOV Aleksandr</t>
  </si>
  <si>
    <t>THEUNS Edward</t>
  </si>
  <si>
    <t>RUSSO Clément</t>
  </si>
  <si>
    <t>VERSTRYNGE Emiel</t>
  </si>
  <si>
    <t>SCHMID Mauro</t>
  </si>
  <si>
    <t>VENTURINI Clément</t>
  </si>
  <si>
    <t>RUBIO Einer</t>
  </si>
  <si>
    <t>TRONCHON Bastien</t>
  </si>
  <si>
    <t>TOUZÉ Damien</t>
  </si>
  <si>
    <t>VELASCO Simone</t>
  </si>
  <si>
    <t>VERCHER Mattéo</t>
  </si>
  <si>
    <t>VAN DEN BROEK Frank</t>
  </si>
  <si>
    <t>STEWART Jake</t>
  </si>
  <si>
    <t>VAN MOER Brent</t>
  </si>
  <si>
    <t>WÆRENSKJOLD Søren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</si>
</sst>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€&quot;\ * #,##0.00_-;_-&quot;€&quot;\ * #,##0.00\-;_-&quot;€&quot;\ * &quot;-&quot;??_-;_-@_-"/>
    <numFmt numFmtId="165" formatCode="_-[$€-2]\ * #,##0.00_-;_-[$€-2]\ * #,##0.00\-;_-[$€-2]\ * &quot;-&quot;??_-;_-@_-"/>
    <numFmt numFmtId="166" formatCode="_ [$€-2]\ * #,##0.00_ ;_ [$€-2]\ * \-#,##0.00_ ;_ [$€-2]\ * &quot;-&quot;??_ ;_ @_ "/>
  </numFmts>
  <fonts count="16" x14ac:knownFonts="1">
    <font>
      <sz val="9"/>
      <name val="Verdana"/>
    </font>
    <font>
      <sz val="9"/>
      <name val="Verdana"/>
    </font>
    <font>
      <sz val="10"/>
      <name val="Arial"/>
      <family val="2"/>
    </font>
    <font>
      <sz val="12"/>
      <name val="Arial"/>
      <family val="2"/>
    </font>
    <font>
      <b/>
      <sz val="8"/>
      <color indexed="8"/>
      <name val="Verdana"/>
      <family val="2"/>
    </font>
    <font>
      <sz val="8"/>
      <color indexed="8"/>
      <name val="Verdana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Verdana"/>
      <family val="2"/>
    </font>
    <font>
      <sz val="9"/>
      <name val="Verdana"/>
      <family val="2"/>
    </font>
    <font>
      <b/>
      <sz val="9"/>
      <name val="Verdana"/>
      <family val="2"/>
    </font>
    <font>
      <b/>
      <u/>
      <sz val="8"/>
      <color indexed="8"/>
      <name val="Verdana"/>
      <family val="2"/>
    </font>
    <font>
      <u/>
      <sz val="16"/>
      <name val="Arial"/>
      <family val="2"/>
    </font>
    <font>
      <sz val="9"/>
      <color theme="1"/>
      <name val="Verdana"/>
      <family val="2"/>
    </font>
    <font>
      <u/>
      <sz val="9"/>
      <color theme="10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4" fillId="0" borderId="0"/>
    <xf numFmtId="0" fontId="2" fillId="0" borderId="0"/>
    <xf numFmtId="0" fontId="10" fillId="0" borderId="0"/>
    <xf numFmtId="0" fontId="2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3"/>
    <xf numFmtId="0" fontId="3" fillId="0" borderId="1" xfId="3" applyFont="1" applyBorder="1"/>
    <xf numFmtId="0" fontId="2" fillId="2" borderId="1" xfId="3" applyFill="1" applyBorder="1"/>
    <xf numFmtId="0" fontId="2" fillId="0" borderId="1" xfId="3" applyBorder="1"/>
    <xf numFmtId="0" fontId="4" fillId="0" borderId="0" xfId="3" applyFont="1"/>
    <xf numFmtId="0" fontId="5" fillId="0" borderId="0" xfId="3" applyFont="1"/>
    <xf numFmtId="0" fontId="6" fillId="0" borderId="0" xfId="3" applyFont="1"/>
    <xf numFmtId="0" fontId="6" fillId="0" borderId="2" xfId="3" applyFont="1" applyBorder="1"/>
    <xf numFmtId="0" fontId="2" fillId="0" borderId="3" xfId="3" applyBorder="1"/>
    <xf numFmtId="0" fontId="6" fillId="0" borderId="1" xfId="3" applyFont="1" applyBorder="1"/>
    <xf numFmtId="0" fontId="2" fillId="0" borderId="4" xfId="3" applyBorder="1"/>
    <xf numFmtId="0" fontId="2" fillId="0" borderId="5" xfId="3" applyBorder="1"/>
    <xf numFmtId="0" fontId="2" fillId="0" borderId="6" xfId="3" applyBorder="1"/>
    <xf numFmtId="0" fontId="2" fillId="0" borderId="7" xfId="3" applyBorder="1"/>
    <xf numFmtId="0" fontId="2" fillId="0" borderId="0" xfId="5"/>
    <xf numFmtId="0" fontId="8" fillId="0" borderId="0" xfId="0" applyFont="1" applyAlignment="1">
      <alignment horizontal="left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8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6" fillId="0" borderId="8" xfId="0" applyFont="1" applyBorder="1" applyAlignment="1">
      <alignment wrapText="1"/>
    </xf>
    <xf numFmtId="0" fontId="14" fillId="0" borderId="0" xfId="2"/>
    <xf numFmtId="0" fontId="12" fillId="0" borderId="0" xfId="3" applyFont="1"/>
    <xf numFmtId="0" fontId="2" fillId="2" borderId="0" xfId="5" applyFill="1"/>
    <xf numFmtId="0" fontId="2" fillId="2" borderId="9" xfId="5" applyFill="1" applyBorder="1"/>
    <xf numFmtId="0" fontId="2" fillId="2" borderId="10" xfId="5" applyFill="1" applyBorder="1"/>
    <xf numFmtId="0" fontId="2" fillId="2" borderId="11" xfId="5" applyFill="1" applyBorder="1"/>
    <xf numFmtId="0" fontId="2" fillId="2" borderId="12" xfId="5" applyFill="1" applyBorder="1"/>
    <xf numFmtId="0" fontId="2" fillId="2" borderId="13" xfId="5" applyFill="1" applyBorder="1"/>
    <xf numFmtId="0" fontId="2" fillId="2" borderId="14" xfId="5" applyFill="1" applyBorder="1"/>
    <xf numFmtId="0" fontId="2" fillId="2" borderId="1" xfId="5" applyFill="1" applyBorder="1"/>
    <xf numFmtId="0" fontId="2" fillId="2" borderId="4" xfId="5" applyFill="1" applyBorder="1"/>
    <xf numFmtId="0" fontId="2" fillId="2" borderId="15" xfId="5" applyFill="1" applyBorder="1"/>
    <xf numFmtId="0" fontId="2" fillId="2" borderId="16" xfId="5" applyFill="1" applyBorder="1"/>
    <xf numFmtId="0" fontId="2" fillId="2" borderId="17" xfId="5" applyFill="1" applyBorder="1"/>
    <xf numFmtId="0" fontId="2" fillId="2" borderId="5" xfId="5" applyFill="1" applyBorder="1"/>
    <xf numFmtId="0" fontId="2" fillId="2" borderId="18" xfId="5" applyFill="1" applyBorder="1"/>
    <xf numFmtId="0" fontId="2" fillId="2" borderId="19" xfId="5" applyFill="1" applyBorder="1"/>
    <xf numFmtId="0" fontId="2" fillId="2" borderId="20" xfId="5" applyFill="1" applyBorder="1"/>
    <xf numFmtId="0" fontId="2" fillId="2" borderId="21" xfId="5" applyFill="1" applyBorder="1"/>
    <xf numFmtId="0" fontId="2" fillId="2" borderId="22" xfId="5" applyFill="1" applyBorder="1"/>
    <xf numFmtId="0" fontId="2" fillId="2" borderId="6" xfId="5" applyFill="1" applyBorder="1"/>
    <xf numFmtId="0" fontId="2" fillId="2" borderId="23" xfId="5" applyFill="1" applyBorder="1"/>
    <xf numFmtId="0" fontId="2" fillId="2" borderId="24" xfId="5" applyFill="1" applyBorder="1"/>
    <xf numFmtId="0" fontId="2" fillId="2" borderId="25" xfId="5" applyFill="1" applyBorder="1"/>
    <xf numFmtId="0" fontId="2" fillId="2" borderId="26" xfId="5" applyFill="1" applyBorder="1"/>
    <xf numFmtId="0" fontId="2" fillId="0" borderId="2" xfId="5" applyBorder="1"/>
    <xf numFmtId="0" fontId="2" fillId="0" borderId="3" xfId="5" applyBorder="1"/>
    <xf numFmtId="165" fontId="2" fillId="2" borderId="1" xfId="5" applyNumberFormat="1" applyFill="1" applyBorder="1"/>
    <xf numFmtId="0" fontId="2" fillId="0" borderId="17" xfId="5" applyBorder="1"/>
    <xf numFmtId="9" fontId="2" fillId="0" borderId="27" xfId="5" applyNumberFormat="1" applyBorder="1"/>
    <xf numFmtId="0" fontId="2" fillId="0" borderId="18" xfId="5" applyBorder="1"/>
    <xf numFmtId="9" fontId="2" fillId="0" borderId="28" xfId="5" applyNumberFormat="1" applyBorder="1"/>
    <xf numFmtId="165" fontId="2" fillId="0" borderId="5" xfId="5" applyNumberFormat="1" applyBorder="1"/>
    <xf numFmtId="0" fontId="2" fillId="0" borderId="29" xfId="5" applyBorder="1"/>
    <xf numFmtId="9" fontId="2" fillId="0" borderId="30" xfId="5" applyNumberFormat="1" applyBorder="1"/>
    <xf numFmtId="0" fontId="2" fillId="3" borderId="1" xfId="3" applyFill="1" applyBorder="1"/>
    <xf numFmtId="165" fontId="2" fillId="4" borderId="4" xfId="5" applyNumberFormat="1" applyFill="1" applyBorder="1"/>
    <xf numFmtId="165" fontId="2" fillId="5" borderId="5" xfId="5" applyNumberFormat="1" applyFill="1" applyBorder="1"/>
    <xf numFmtId="165" fontId="2" fillId="6" borderId="6" xfId="5" applyNumberFormat="1" applyFill="1" applyBorder="1"/>
    <xf numFmtId="0" fontId="10" fillId="0" borderId="0" xfId="4"/>
    <xf numFmtId="0" fontId="11" fillId="7" borderId="0" xfId="4" applyFont="1" applyFill="1"/>
    <xf numFmtId="166" fontId="2" fillId="0" borderId="0" xfId="6" applyNumberFormat="1" applyFont="1" applyFill="1"/>
    <xf numFmtId="0" fontId="13" fillId="0" borderId="0" xfId="5" applyFont="1"/>
    <xf numFmtId="0" fontId="8" fillId="0" borderId="1" xfId="4" applyFont="1" applyBorder="1"/>
  </cellXfs>
  <cellStyles count="7">
    <cellStyle name="Currency" xfId="6" builtinId="4"/>
    <cellStyle name="Hyperlink 2" xfId="1" xr:uid="{00000000-0005-0000-0000-000000000000}"/>
    <cellStyle name="Normal" xfId="0" builtinId="0"/>
    <cellStyle name="Standaard 2" xfId="2" xr:uid="{00000000-0005-0000-0000-000002000000}"/>
    <cellStyle name="Standaard_formulier tourspel 2008_def" xfId="3" xr:uid="{00000000-0005-0000-0000-000003000000}"/>
    <cellStyle name="Standaard_formulier_tourspel_2010_def" xfId="4" xr:uid="{00000000-0005-0000-0000-000004000000}"/>
    <cellStyle name="Standaard_TOURSPEL 2009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41</xdr:row>
      <xdr:rowOff>0</xdr:rowOff>
    </xdr:from>
    <xdr:to>
      <xdr:col>31</xdr:col>
      <xdr:colOff>15875</xdr:colOff>
      <xdr:row>41</xdr:row>
      <xdr:rowOff>15875</xdr:rowOff>
    </xdr:to>
    <xdr:pic>
      <xdr:nvPicPr>
        <xdr:cNvPr id="1251" name="Picture 9" descr="hit">
          <a:extLst>
            <a:ext uri="{FF2B5EF4-FFF2-40B4-BE49-F238E27FC236}">
              <a16:creationId xmlns:a16="http://schemas.microsoft.com/office/drawing/2014/main" id="{558F7460-F92D-956A-A15B-8F2783350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96600" y="66865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41</xdr:row>
      <xdr:rowOff>0</xdr:rowOff>
    </xdr:from>
    <xdr:to>
      <xdr:col>31</xdr:col>
      <xdr:colOff>15875</xdr:colOff>
      <xdr:row>41</xdr:row>
      <xdr:rowOff>15875</xdr:rowOff>
    </xdr:to>
    <xdr:pic>
      <xdr:nvPicPr>
        <xdr:cNvPr id="1252" name="Picture 11" descr="hit">
          <a:extLst>
            <a:ext uri="{FF2B5EF4-FFF2-40B4-BE49-F238E27FC236}">
              <a16:creationId xmlns:a16="http://schemas.microsoft.com/office/drawing/2014/main" id="{3F82F737-FC64-2787-1841-0FE802302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96600" y="66865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opLeftCell="A6" workbookViewId="0">
      <selection activeCell="E47" sqref="A1:XFD1048576"/>
    </sheetView>
  </sheetViews>
  <sheetFormatPr defaultColWidth="8" defaultRowHeight="12.75" x14ac:dyDescent="0.2"/>
  <cols>
    <col min="1" max="1" width="15.75" style="15" bestFit="1" customWidth="1"/>
    <col min="2" max="2" width="7.875" style="15" customWidth="1"/>
    <col min="3" max="3" width="2.5" style="15" customWidth="1"/>
    <col min="4" max="4" width="9.625" style="15" customWidth="1"/>
    <col min="5" max="5" width="23.25" style="15" customWidth="1"/>
    <col min="6" max="6" width="8" style="15" customWidth="1"/>
    <col min="7" max="7" width="12.875" style="15" customWidth="1"/>
    <col min="8" max="16384" width="8" style="15"/>
  </cols>
  <sheetData>
    <row r="1" spans="1:11" ht="20.25" x14ac:dyDescent="0.3">
      <c r="A1" s="64" t="s">
        <v>226</v>
      </c>
    </row>
    <row r="2" spans="1:11" x14ac:dyDescent="0.2">
      <c r="A2" s="15" t="s">
        <v>227</v>
      </c>
    </row>
    <row r="3" spans="1:11" x14ac:dyDescent="0.2">
      <c r="A3" s="15" t="s">
        <v>228</v>
      </c>
    </row>
    <row r="4" spans="1:11" x14ac:dyDescent="0.2">
      <c r="A4" s="15" t="s">
        <v>251</v>
      </c>
    </row>
    <row r="6" spans="1:11" x14ac:dyDescent="0.2">
      <c r="A6" s="15" t="s">
        <v>247</v>
      </c>
    </row>
    <row r="7" spans="1:11" x14ac:dyDescent="0.2">
      <c r="A7" s="15" t="s">
        <v>248</v>
      </c>
    </row>
    <row r="8" spans="1:11" x14ac:dyDescent="0.2">
      <c r="A8" s="15" t="s">
        <v>249</v>
      </c>
    </row>
    <row r="9" spans="1:11" x14ac:dyDescent="0.2">
      <c r="A9" s="15" t="s">
        <v>250</v>
      </c>
    </row>
    <row r="12" spans="1:11" ht="13.5" thickBot="1" x14ac:dyDescent="0.25">
      <c r="A12" s="24" t="s">
        <v>229</v>
      </c>
      <c r="B12" s="24"/>
      <c r="C12" s="24"/>
      <c r="D12" s="24"/>
    </row>
    <row r="13" spans="1:11" x14ac:dyDescent="0.2">
      <c r="A13" s="25" t="s">
        <v>230</v>
      </c>
      <c r="B13" s="26"/>
      <c r="C13" s="26"/>
      <c r="D13" s="27"/>
      <c r="E13" s="25" t="s">
        <v>233</v>
      </c>
      <c r="F13" s="26"/>
      <c r="G13" s="26"/>
      <c r="H13" s="25" t="s">
        <v>238</v>
      </c>
      <c r="I13" s="26"/>
      <c r="J13" s="26"/>
      <c r="K13" s="27"/>
    </row>
    <row r="14" spans="1:11" x14ac:dyDescent="0.2">
      <c r="A14" s="28"/>
      <c r="B14" s="24"/>
      <c r="C14" s="24"/>
      <c r="D14" s="29"/>
      <c r="E14" s="28"/>
      <c r="F14" s="24"/>
      <c r="G14" s="24"/>
      <c r="H14" s="28"/>
      <c r="I14" s="24"/>
      <c r="J14" s="24"/>
      <c r="K14" s="29"/>
    </row>
    <row r="15" spans="1:11" x14ac:dyDescent="0.2">
      <c r="A15" s="30" t="s">
        <v>231</v>
      </c>
      <c r="B15" s="31" t="s">
        <v>232</v>
      </c>
      <c r="C15" s="24"/>
      <c r="D15" s="29"/>
      <c r="E15" s="28"/>
      <c r="F15" s="32" t="s">
        <v>232</v>
      </c>
      <c r="G15" s="24"/>
      <c r="H15" s="30" t="s">
        <v>231</v>
      </c>
      <c r="I15" s="31" t="s">
        <v>239</v>
      </c>
      <c r="J15" s="32" t="s">
        <v>240</v>
      </c>
      <c r="K15" s="33" t="s">
        <v>241</v>
      </c>
    </row>
    <row r="16" spans="1:11" x14ac:dyDescent="0.2">
      <c r="A16" s="34" t="s">
        <v>278</v>
      </c>
      <c r="B16" s="32">
        <v>25</v>
      </c>
      <c r="C16" s="24"/>
      <c r="D16" s="29"/>
      <c r="E16" s="34" t="s">
        <v>234</v>
      </c>
      <c r="F16" s="32">
        <v>7</v>
      </c>
      <c r="G16" s="24"/>
      <c r="H16" s="34" t="s">
        <v>278</v>
      </c>
      <c r="I16" s="35">
        <v>220</v>
      </c>
      <c r="J16" s="32">
        <v>100</v>
      </c>
      <c r="K16" s="33">
        <v>100</v>
      </c>
    </row>
    <row r="17" spans="1:11" x14ac:dyDescent="0.2">
      <c r="A17" s="28" t="s">
        <v>279</v>
      </c>
      <c r="B17" s="36">
        <v>19</v>
      </c>
      <c r="C17" s="24"/>
      <c r="D17" s="29"/>
      <c r="E17" s="28" t="s">
        <v>242</v>
      </c>
      <c r="F17" s="36">
        <v>3</v>
      </c>
      <c r="G17" s="24"/>
      <c r="H17" s="28" t="s">
        <v>279</v>
      </c>
      <c r="I17" s="37">
        <v>160</v>
      </c>
      <c r="J17" s="36">
        <v>50</v>
      </c>
      <c r="K17" s="38">
        <v>50</v>
      </c>
    </row>
    <row r="18" spans="1:11" ht="13.5" thickBot="1" x14ac:dyDescent="0.25">
      <c r="A18" s="28" t="s">
        <v>280</v>
      </c>
      <c r="B18" s="36">
        <v>14</v>
      </c>
      <c r="C18" s="24"/>
      <c r="D18" s="29"/>
      <c r="E18" s="39" t="s">
        <v>235</v>
      </c>
      <c r="F18" s="40">
        <v>3</v>
      </c>
      <c r="G18" s="41"/>
      <c r="H18" s="28" t="s">
        <v>280</v>
      </c>
      <c r="I18" s="37">
        <v>115</v>
      </c>
      <c r="J18" s="36">
        <v>20</v>
      </c>
      <c r="K18" s="38">
        <v>20</v>
      </c>
    </row>
    <row r="19" spans="1:11" x14ac:dyDescent="0.2">
      <c r="A19" s="28" t="s">
        <v>281</v>
      </c>
      <c r="B19" s="36">
        <v>10</v>
      </c>
      <c r="C19" s="24"/>
      <c r="D19" s="29"/>
      <c r="H19" s="28" t="s">
        <v>281</v>
      </c>
      <c r="I19" s="37">
        <v>85</v>
      </c>
      <c r="J19" s="36">
        <v>10</v>
      </c>
      <c r="K19" s="38">
        <v>10</v>
      </c>
    </row>
    <row r="20" spans="1:11" x14ac:dyDescent="0.2">
      <c r="A20" s="28" t="s">
        <v>282</v>
      </c>
      <c r="B20" s="36">
        <v>7</v>
      </c>
      <c r="C20" s="24"/>
      <c r="D20" s="29"/>
      <c r="E20" s="15" t="s">
        <v>236</v>
      </c>
      <c r="H20" s="28" t="s">
        <v>282</v>
      </c>
      <c r="I20" s="37">
        <v>65</v>
      </c>
      <c r="J20" s="42">
        <v>5</v>
      </c>
      <c r="K20" s="43">
        <v>5</v>
      </c>
    </row>
    <row r="21" spans="1:11" x14ac:dyDescent="0.2">
      <c r="A21" s="28" t="s">
        <v>283</v>
      </c>
      <c r="B21" s="36">
        <v>5</v>
      </c>
      <c r="C21" s="24"/>
      <c r="D21" s="29"/>
      <c r="E21" s="15" t="s">
        <v>237</v>
      </c>
      <c r="H21" s="28" t="s">
        <v>283</v>
      </c>
      <c r="I21" s="36">
        <v>50</v>
      </c>
      <c r="J21" s="24"/>
      <c r="K21" s="29"/>
    </row>
    <row r="22" spans="1:11" x14ac:dyDescent="0.2">
      <c r="A22" s="28" t="s">
        <v>284</v>
      </c>
      <c r="B22" s="36">
        <v>4</v>
      </c>
      <c r="C22" s="24"/>
      <c r="D22" s="29"/>
      <c r="H22" s="28" t="s">
        <v>284</v>
      </c>
      <c r="I22" s="36">
        <v>40</v>
      </c>
      <c r="J22" s="24"/>
      <c r="K22" s="29"/>
    </row>
    <row r="23" spans="1:11" x14ac:dyDescent="0.2">
      <c r="A23" s="28" t="s">
        <v>285</v>
      </c>
      <c r="B23" s="36">
        <v>3</v>
      </c>
      <c r="C23" s="24"/>
      <c r="D23" s="29"/>
      <c r="H23" s="28" t="s">
        <v>285</v>
      </c>
      <c r="I23" s="36">
        <v>30</v>
      </c>
      <c r="J23" s="24"/>
      <c r="K23" s="29"/>
    </row>
    <row r="24" spans="1:11" x14ac:dyDescent="0.2">
      <c r="A24" s="28" t="s">
        <v>286</v>
      </c>
      <c r="B24" s="36">
        <v>2</v>
      </c>
      <c r="C24" s="24"/>
      <c r="D24" s="29"/>
      <c r="H24" s="28" t="s">
        <v>286</v>
      </c>
      <c r="I24" s="36">
        <v>20</v>
      </c>
      <c r="J24" s="24"/>
      <c r="K24" s="29"/>
    </row>
    <row r="25" spans="1:11" ht="13.5" thickBot="1" x14ac:dyDescent="0.25">
      <c r="A25" s="39" t="s">
        <v>287</v>
      </c>
      <c r="B25" s="40">
        <v>1</v>
      </c>
      <c r="C25" s="41"/>
      <c r="D25" s="44"/>
      <c r="H25" s="39" t="s">
        <v>287</v>
      </c>
      <c r="I25" s="36">
        <v>10</v>
      </c>
      <c r="J25" s="24"/>
      <c r="K25" s="29"/>
    </row>
    <row r="26" spans="1:11" ht="13.5" thickBot="1" x14ac:dyDescent="0.25">
      <c r="H26" s="28" t="s">
        <v>288</v>
      </c>
      <c r="I26" s="36">
        <v>7</v>
      </c>
      <c r="J26" s="24"/>
      <c r="K26" s="29"/>
    </row>
    <row r="27" spans="1:11" x14ac:dyDescent="0.2">
      <c r="A27" s="25" t="s">
        <v>243</v>
      </c>
      <c r="B27" s="26"/>
      <c r="C27" s="26"/>
      <c r="D27" s="27"/>
      <c r="H27" s="28" t="s">
        <v>289</v>
      </c>
      <c r="I27" s="36">
        <v>5</v>
      </c>
      <c r="J27" s="24"/>
      <c r="K27" s="29"/>
    </row>
    <row r="28" spans="1:11" x14ac:dyDescent="0.2">
      <c r="A28" s="30" t="s">
        <v>244</v>
      </c>
      <c r="B28" s="31">
        <v>25</v>
      </c>
      <c r="C28" s="24"/>
      <c r="D28" s="29"/>
      <c r="H28" s="28" t="s">
        <v>290</v>
      </c>
      <c r="I28" s="36">
        <v>3</v>
      </c>
      <c r="J28" s="24"/>
      <c r="K28" s="29"/>
    </row>
    <row r="29" spans="1:11" x14ac:dyDescent="0.2">
      <c r="A29" s="30" t="s">
        <v>245</v>
      </c>
      <c r="B29" s="31">
        <v>13</v>
      </c>
      <c r="C29" s="24"/>
      <c r="D29" s="29"/>
      <c r="H29" s="28" t="s">
        <v>291</v>
      </c>
      <c r="I29" s="36">
        <v>2</v>
      </c>
      <c r="J29" s="24"/>
      <c r="K29" s="29"/>
    </row>
    <row r="30" spans="1:11" ht="13.5" thickBot="1" x14ac:dyDescent="0.25">
      <c r="A30" s="30" t="s">
        <v>241</v>
      </c>
      <c r="B30" s="31">
        <v>13</v>
      </c>
      <c r="C30" s="24"/>
      <c r="D30" s="29"/>
      <c r="H30" s="39" t="s">
        <v>292</v>
      </c>
      <c r="I30" s="40">
        <v>1</v>
      </c>
      <c r="J30" s="41"/>
      <c r="K30" s="44"/>
    </row>
    <row r="31" spans="1:11" ht="13.5" thickBot="1" x14ac:dyDescent="0.25">
      <c r="A31" s="45" t="s">
        <v>246</v>
      </c>
      <c r="B31" s="46">
        <v>13</v>
      </c>
      <c r="C31" s="41"/>
      <c r="D31" s="44"/>
    </row>
    <row r="33" spans="1:7" x14ac:dyDescent="0.2">
      <c r="A33" s="24" t="s">
        <v>252</v>
      </c>
      <c r="B33" s="24"/>
      <c r="C33" s="24"/>
      <c r="D33" s="24"/>
      <c r="E33" s="24"/>
      <c r="F33" s="24"/>
      <c r="G33" s="24"/>
    </row>
    <row r="34" spans="1:7" x14ac:dyDescent="0.2">
      <c r="A34" s="24" t="s">
        <v>253</v>
      </c>
      <c r="B34" s="24"/>
      <c r="C34" s="24"/>
      <c r="D34" s="24"/>
      <c r="E34" s="24"/>
      <c r="F34" s="24"/>
      <c r="G34" s="24"/>
    </row>
    <row r="37" spans="1:7" x14ac:dyDescent="0.2">
      <c r="A37" s="47" t="s">
        <v>254</v>
      </c>
      <c r="B37" s="48"/>
      <c r="D37" s="49">
        <v>100</v>
      </c>
    </row>
    <row r="38" spans="1:7" x14ac:dyDescent="0.2">
      <c r="A38" s="50" t="s">
        <v>255</v>
      </c>
      <c r="B38" s="51" t="s">
        <v>220</v>
      </c>
      <c r="D38" s="58">
        <f>0.6*D37</f>
        <v>60</v>
      </c>
    </row>
    <row r="39" spans="1:7" x14ac:dyDescent="0.2">
      <c r="A39" s="52" t="s">
        <v>256</v>
      </c>
      <c r="B39" s="53" t="s">
        <v>221</v>
      </c>
      <c r="D39" s="54">
        <f>0.25*D37</f>
        <v>25</v>
      </c>
    </row>
    <row r="40" spans="1:7" x14ac:dyDescent="0.2">
      <c r="A40" s="52" t="s">
        <v>257</v>
      </c>
      <c r="B40" s="53" t="s">
        <v>222</v>
      </c>
      <c r="D40" s="59">
        <f>0.1*D37</f>
        <v>10</v>
      </c>
    </row>
    <row r="41" spans="1:7" x14ac:dyDescent="0.2">
      <c r="A41" s="55" t="s">
        <v>276</v>
      </c>
      <c r="B41" s="56" t="s">
        <v>223</v>
      </c>
      <c r="D41" s="60">
        <f>0.05*D37</f>
        <v>5</v>
      </c>
      <c r="E41" s="15" t="s">
        <v>277</v>
      </c>
    </row>
    <row r="42" spans="1:7" x14ac:dyDescent="0.2">
      <c r="D42" s="63"/>
    </row>
    <row r="43" spans="1:7" x14ac:dyDescent="0.2">
      <c r="D43" s="6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08"/>
  <sheetViews>
    <sheetView tabSelected="1" zoomScale="115" workbookViewId="0">
      <selection activeCell="B29" sqref="B29"/>
    </sheetView>
  </sheetViews>
  <sheetFormatPr defaultColWidth="8" defaultRowHeight="12.75" x14ac:dyDescent="0.2"/>
  <cols>
    <col min="1" max="1" width="2.625" style="1" bestFit="1" customWidth="1"/>
    <col min="2" max="2" width="35.625" style="1" customWidth="1"/>
    <col min="3" max="3" width="26.625" style="1" customWidth="1"/>
    <col min="4" max="4" width="6" style="1" bestFit="1" customWidth="1"/>
    <col min="5" max="5" width="5.25" style="1" bestFit="1" customWidth="1"/>
    <col min="6" max="6" width="8" style="1" customWidth="1"/>
    <col min="7" max="7" width="34" style="1" customWidth="1"/>
    <col min="8" max="8" width="22" style="1" customWidth="1"/>
    <col min="9" max="9" width="8" style="1" customWidth="1"/>
    <col min="10" max="10" width="21.875" style="1" hidden="1" customWidth="1"/>
    <col min="11" max="11" width="20" style="1" hidden="1" customWidth="1"/>
    <col min="12" max="12" width="23" style="1" hidden="1" customWidth="1"/>
    <col min="13" max="13" width="19.75" style="7" hidden="1" customWidth="1"/>
    <col min="14" max="14" width="21.5" style="7" hidden="1" customWidth="1"/>
    <col min="15" max="15" width="21.625" style="1" hidden="1" customWidth="1"/>
    <col min="16" max="16" width="26.125" style="1" hidden="1" customWidth="1"/>
    <col min="17" max="17" width="20.75" style="1" hidden="1" customWidth="1"/>
    <col min="18" max="18" width="23.875" style="1" hidden="1" customWidth="1"/>
    <col min="19" max="19" width="23.5" style="1" hidden="1" customWidth="1"/>
    <col min="20" max="20" width="24.625" style="1" hidden="1" customWidth="1"/>
    <col min="21" max="21" width="23.5" style="1" hidden="1" customWidth="1"/>
    <col min="22" max="22" width="22.875" style="1" hidden="1" customWidth="1"/>
    <col min="23" max="23" width="25.25" style="1" hidden="1" customWidth="1"/>
    <col min="24" max="24" width="17.75" style="1" hidden="1" customWidth="1"/>
    <col min="25" max="25" width="21.25" style="1" hidden="1" customWidth="1"/>
    <col min="26" max="26" width="19.625" style="1" hidden="1" customWidth="1"/>
    <col min="27" max="27" width="24.875" style="1" hidden="1" customWidth="1"/>
    <col min="28" max="28" width="18.875" style="1" hidden="1" customWidth="1"/>
    <col min="29" max="29" width="20.5" style="1" hidden="1" customWidth="1"/>
    <col min="30" max="30" width="21.5" style="1" hidden="1" customWidth="1"/>
    <col min="31" max="31" width="20.25" style="1" hidden="1" customWidth="1"/>
    <col min="32" max="39" width="42.625" style="1" customWidth="1"/>
    <col min="40" max="16384" width="8" style="1"/>
  </cols>
  <sheetData>
    <row r="1" spans="1:31" ht="15" x14ac:dyDescent="0.2">
      <c r="B1" s="2" t="s">
        <v>258</v>
      </c>
      <c r="C1" s="3"/>
      <c r="J1" s="23" t="s">
        <v>0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219</v>
      </c>
      <c r="R1" s="23" t="s">
        <v>16</v>
      </c>
      <c r="S1" s="23" t="s">
        <v>17</v>
      </c>
      <c r="T1" s="23" t="s">
        <v>18</v>
      </c>
      <c r="U1" s="23" t="s">
        <v>19</v>
      </c>
      <c r="V1" s="23" t="s">
        <v>20</v>
      </c>
      <c r="W1" s="23" t="s">
        <v>21</v>
      </c>
      <c r="X1" s="23" t="s">
        <v>196</v>
      </c>
      <c r="Y1" s="23" t="s">
        <v>22</v>
      </c>
      <c r="Z1" s="23" t="s">
        <v>23</v>
      </c>
      <c r="AA1" s="23" t="s">
        <v>24</v>
      </c>
      <c r="AB1" s="23" t="s">
        <v>25</v>
      </c>
      <c r="AC1" s="23" t="s">
        <v>26</v>
      </c>
      <c r="AD1" s="23" t="s">
        <v>27</v>
      </c>
      <c r="AE1" s="23" t="s">
        <v>28</v>
      </c>
    </row>
    <row r="2" spans="1:31" x14ac:dyDescent="0.2">
      <c r="J2" s="6" t="s">
        <v>1</v>
      </c>
      <c r="K2" s="6" t="s">
        <v>29</v>
      </c>
      <c r="L2" s="6" t="s">
        <v>30</v>
      </c>
      <c r="M2" s="6" t="s">
        <v>31</v>
      </c>
      <c r="N2" s="6" t="s">
        <v>32</v>
      </c>
      <c r="O2" s="6" t="s">
        <v>33</v>
      </c>
      <c r="P2" s="6" t="s">
        <v>34</v>
      </c>
      <c r="Q2" s="6" t="s">
        <v>35</v>
      </c>
      <c r="R2" s="6" t="s">
        <v>55</v>
      </c>
      <c r="S2" s="6" t="s">
        <v>36</v>
      </c>
      <c r="T2" s="6" t="s">
        <v>37</v>
      </c>
      <c r="U2" s="6" t="s">
        <v>38</v>
      </c>
      <c r="V2" s="6" t="s">
        <v>39</v>
      </c>
      <c r="W2" s="6" t="s">
        <v>40</v>
      </c>
      <c r="X2" s="6" t="s">
        <v>199</v>
      </c>
      <c r="Y2" s="6" t="s">
        <v>41</v>
      </c>
      <c r="Z2" s="6" t="s">
        <v>42</v>
      </c>
      <c r="AA2" s="6" t="s">
        <v>43</v>
      </c>
      <c r="AB2" s="6" t="s">
        <v>44</v>
      </c>
      <c r="AC2" s="6" t="s">
        <v>45</v>
      </c>
      <c r="AD2" s="6" t="s">
        <v>46</v>
      </c>
      <c r="AE2" s="6" t="s">
        <v>47</v>
      </c>
    </row>
    <row r="3" spans="1:31" x14ac:dyDescent="0.2">
      <c r="B3" s="4" t="s">
        <v>259</v>
      </c>
      <c r="C3" s="4" t="s">
        <v>260</v>
      </c>
      <c r="D3" s="4" t="s">
        <v>261</v>
      </c>
      <c r="G3" s="4" t="s">
        <v>262</v>
      </c>
      <c r="H3" s="4" t="s">
        <v>260</v>
      </c>
      <c r="J3" s="6" t="s">
        <v>2</v>
      </c>
      <c r="K3" s="6" t="s">
        <v>48</v>
      </c>
      <c r="L3" s="6" t="s">
        <v>49</v>
      </c>
      <c r="M3" s="6" t="s">
        <v>50</v>
      </c>
      <c r="N3" s="6" t="s">
        <v>51</v>
      </c>
      <c r="O3" s="6" t="s">
        <v>52</v>
      </c>
      <c r="P3" s="6" t="s">
        <v>53</v>
      </c>
      <c r="Q3" s="6" t="s">
        <v>54</v>
      </c>
      <c r="R3" s="6" t="s">
        <v>90</v>
      </c>
      <c r="S3" s="6" t="s">
        <v>56</v>
      </c>
      <c r="T3" s="6" t="s">
        <v>57</v>
      </c>
      <c r="U3" s="6" t="s">
        <v>58</v>
      </c>
      <c r="V3" s="6" t="s">
        <v>76</v>
      </c>
      <c r="W3" s="6" t="s">
        <v>59</v>
      </c>
      <c r="X3" s="6" t="s">
        <v>200</v>
      </c>
      <c r="Y3" s="6" t="s">
        <v>60</v>
      </c>
      <c r="Z3" s="6" t="s">
        <v>61</v>
      </c>
      <c r="AA3" s="6" t="s">
        <v>62</v>
      </c>
      <c r="AB3" s="6" t="s">
        <v>63</v>
      </c>
      <c r="AC3" s="6" t="s">
        <v>64</v>
      </c>
      <c r="AD3" s="6" t="s">
        <v>65</v>
      </c>
      <c r="AE3" s="6" t="s">
        <v>66</v>
      </c>
    </row>
    <row r="4" spans="1:31" x14ac:dyDescent="0.2">
      <c r="A4" s="1">
        <v>1</v>
      </c>
      <c r="B4" s="3" t="s">
        <v>268</v>
      </c>
      <c r="C4" s="65" t="s">
        <v>293</v>
      </c>
      <c r="D4" s="4"/>
      <c r="G4" s="3"/>
      <c r="H4" s="65" t="s">
        <v>293</v>
      </c>
      <c r="J4" s="6" t="s">
        <v>3</v>
      </c>
      <c r="K4" s="6" t="s">
        <v>67</v>
      </c>
      <c r="L4" s="6" t="s">
        <v>68</v>
      </c>
      <c r="M4" s="6" t="s">
        <v>69</v>
      </c>
      <c r="N4" s="6" t="s">
        <v>70</v>
      </c>
      <c r="O4" s="6" t="s">
        <v>71</v>
      </c>
      <c r="P4" s="6" t="s">
        <v>72</v>
      </c>
      <c r="Q4" s="6" t="s">
        <v>73</v>
      </c>
      <c r="R4" s="6" t="s">
        <v>110</v>
      </c>
      <c r="S4" s="6" t="s">
        <v>74</v>
      </c>
      <c r="T4" s="6" t="s">
        <v>92</v>
      </c>
      <c r="U4" s="6" t="s">
        <v>75</v>
      </c>
      <c r="V4" s="6" t="s">
        <v>94</v>
      </c>
      <c r="W4" s="6" t="s">
        <v>77</v>
      </c>
      <c r="X4" s="6" t="s">
        <v>201</v>
      </c>
      <c r="Y4" s="6" t="s">
        <v>78</v>
      </c>
      <c r="Z4" s="6" t="s">
        <v>79</v>
      </c>
      <c r="AA4" s="6" t="s">
        <v>80</v>
      </c>
      <c r="AB4" s="6" t="s">
        <v>81</v>
      </c>
      <c r="AC4" s="6" t="s">
        <v>82</v>
      </c>
      <c r="AD4" s="6" t="s">
        <v>83</v>
      </c>
      <c r="AE4" s="6" t="s">
        <v>84</v>
      </c>
    </row>
    <row r="5" spans="1:31" x14ac:dyDescent="0.2">
      <c r="A5" s="1">
        <v>2</v>
      </c>
      <c r="B5" s="57" t="s">
        <v>275</v>
      </c>
      <c r="C5" s="65" t="s">
        <v>294</v>
      </c>
      <c r="D5" s="4"/>
      <c r="G5" s="57"/>
      <c r="H5" s="65" t="s">
        <v>294</v>
      </c>
      <c r="J5" s="6" t="s">
        <v>4</v>
      </c>
      <c r="K5" s="6" t="s">
        <v>85</v>
      </c>
      <c r="L5" s="6" t="s">
        <v>86</v>
      </c>
      <c r="M5" s="6" t="s">
        <v>105</v>
      </c>
      <c r="N5" s="6" t="s">
        <v>87</v>
      </c>
      <c r="O5" s="6" t="s">
        <v>107</v>
      </c>
      <c r="P5" s="6" t="s">
        <v>88</v>
      </c>
      <c r="Q5" s="6" t="s">
        <v>89</v>
      </c>
      <c r="R5" s="6" t="s">
        <v>130</v>
      </c>
      <c r="S5" s="6" t="s">
        <v>91</v>
      </c>
      <c r="T5" s="6" t="s">
        <v>112</v>
      </c>
      <c r="U5" s="6" t="s">
        <v>93</v>
      </c>
      <c r="V5" s="6" t="s">
        <v>114</v>
      </c>
      <c r="W5" s="6" t="s">
        <v>95</v>
      </c>
      <c r="X5" s="6" t="s">
        <v>202</v>
      </c>
      <c r="Y5" s="6" t="s">
        <v>96</v>
      </c>
      <c r="Z5" s="6" t="s">
        <v>97</v>
      </c>
      <c r="AA5" s="6" t="s">
        <v>98</v>
      </c>
      <c r="AB5" s="6" t="s">
        <v>99</v>
      </c>
      <c r="AC5" s="6" t="s">
        <v>100</v>
      </c>
      <c r="AD5" s="6" t="s">
        <v>101</v>
      </c>
      <c r="AE5" s="6" t="s">
        <v>102</v>
      </c>
    </row>
    <row r="6" spans="1:31" x14ac:dyDescent="0.2">
      <c r="A6" s="1">
        <v>3</v>
      </c>
      <c r="B6" s="3" t="s">
        <v>314</v>
      </c>
      <c r="C6" s="65" t="s">
        <v>295</v>
      </c>
      <c r="D6" s="4"/>
      <c r="G6" s="3"/>
      <c r="H6" s="65" t="s">
        <v>295</v>
      </c>
      <c r="J6" s="6" t="s">
        <v>5</v>
      </c>
      <c r="K6" s="6" t="s">
        <v>103</v>
      </c>
      <c r="L6" s="6" t="s">
        <v>104</v>
      </c>
      <c r="M6" s="6" t="s">
        <v>125</v>
      </c>
      <c r="N6" s="6" t="s">
        <v>106</v>
      </c>
      <c r="O6" s="6" t="s">
        <v>127</v>
      </c>
      <c r="P6" s="6" t="s">
        <v>108</v>
      </c>
      <c r="Q6" s="6" t="s">
        <v>109</v>
      </c>
      <c r="R6" s="6" t="s">
        <v>209</v>
      </c>
      <c r="S6" s="6" t="s">
        <v>111</v>
      </c>
      <c r="T6" s="6" t="s">
        <v>132</v>
      </c>
      <c r="U6" s="6" t="s">
        <v>113</v>
      </c>
      <c r="V6" s="6" t="s">
        <v>134</v>
      </c>
      <c r="W6" s="6" t="s">
        <v>115</v>
      </c>
      <c r="X6" s="6" t="s">
        <v>203</v>
      </c>
      <c r="Y6" s="6" t="s">
        <v>116</v>
      </c>
      <c r="Z6" s="6" t="s">
        <v>117</v>
      </c>
      <c r="AA6" s="6" t="s">
        <v>118</v>
      </c>
      <c r="AB6" s="6" t="s">
        <v>119</v>
      </c>
      <c r="AC6" s="6" t="s">
        <v>120</v>
      </c>
      <c r="AD6" s="6" t="s">
        <v>121</v>
      </c>
      <c r="AE6" s="6" t="s">
        <v>122</v>
      </c>
    </row>
    <row r="7" spans="1:31" x14ac:dyDescent="0.2">
      <c r="A7" s="1">
        <v>4</v>
      </c>
      <c r="B7" s="3" t="s">
        <v>337</v>
      </c>
      <c r="C7" s="65" t="s">
        <v>296</v>
      </c>
      <c r="D7" s="4"/>
      <c r="G7" s="3"/>
      <c r="H7" s="65" t="s">
        <v>296</v>
      </c>
      <c r="J7" s="6" t="s">
        <v>6</v>
      </c>
      <c r="K7" s="6" t="s">
        <v>123</v>
      </c>
      <c r="L7" s="6" t="s">
        <v>124</v>
      </c>
      <c r="M7" s="6" t="s">
        <v>208</v>
      </c>
      <c r="N7" s="6" t="s">
        <v>126</v>
      </c>
      <c r="O7" s="6" t="s">
        <v>146</v>
      </c>
      <c r="P7" s="6" t="s">
        <v>128</v>
      </c>
      <c r="Q7" s="6" t="s">
        <v>129</v>
      </c>
      <c r="R7" s="6" t="s">
        <v>210</v>
      </c>
      <c r="S7" s="6" t="s">
        <v>131</v>
      </c>
      <c r="T7" s="6" t="s">
        <v>150</v>
      </c>
      <c r="U7" s="6" t="s">
        <v>133</v>
      </c>
      <c r="V7" s="6" t="s">
        <v>152</v>
      </c>
      <c r="W7" s="6" t="s">
        <v>135</v>
      </c>
      <c r="X7" s="6" t="s">
        <v>204</v>
      </c>
      <c r="Y7" s="6" t="s">
        <v>136</v>
      </c>
      <c r="Z7" s="6" t="s">
        <v>137</v>
      </c>
      <c r="AA7" s="6" t="s">
        <v>138</v>
      </c>
      <c r="AB7" s="6" t="s">
        <v>139</v>
      </c>
      <c r="AC7" s="6" t="s">
        <v>140</v>
      </c>
      <c r="AD7" s="6" t="s">
        <v>141</v>
      </c>
      <c r="AE7" s="6" t="s">
        <v>142</v>
      </c>
    </row>
    <row r="8" spans="1:31" x14ac:dyDescent="0.2">
      <c r="A8" s="1">
        <v>5</v>
      </c>
      <c r="B8" s="3" t="s">
        <v>316</v>
      </c>
      <c r="C8" s="65" t="s">
        <v>297</v>
      </c>
      <c r="D8" s="4"/>
      <c r="G8" s="3"/>
      <c r="H8" s="65" t="s">
        <v>297</v>
      </c>
      <c r="J8" s="6" t="s">
        <v>7</v>
      </c>
      <c r="K8" s="6" t="s">
        <v>143</v>
      </c>
      <c r="L8" s="6" t="s">
        <v>144</v>
      </c>
      <c r="M8" s="6" t="s">
        <v>162</v>
      </c>
      <c r="N8" s="6" t="s">
        <v>145</v>
      </c>
      <c r="O8" s="6" t="s">
        <v>180</v>
      </c>
      <c r="P8" s="6" t="s">
        <v>147</v>
      </c>
      <c r="Q8" s="6" t="s">
        <v>148</v>
      </c>
      <c r="R8" s="6" t="s">
        <v>211</v>
      </c>
      <c r="S8" s="6" t="s">
        <v>149</v>
      </c>
      <c r="T8" s="6" t="s">
        <v>214</v>
      </c>
      <c r="U8" s="6" t="s">
        <v>151</v>
      </c>
      <c r="V8" s="6" t="s">
        <v>168</v>
      </c>
      <c r="W8" s="6" t="s">
        <v>153</v>
      </c>
      <c r="X8" s="6" t="s">
        <v>205</v>
      </c>
      <c r="Y8" s="6" t="s">
        <v>154</v>
      </c>
      <c r="Z8" s="6" t="s">
        <v>216</v>
      </c>
      <c r="AA8" s="6" t="s">
        <v>155</v>
      </c>
      <c r="AB8" s="6" t="s">
        <v>156</v>
      </c>
      <c r="AC8" s="6" t="s">
        <v>157</v>
      </c>
      <c r="AD8" s="6" t="s">
        <v>158</v>
      </c>
      <c r="AE8" s="6" t="s">
        <v>159</v>
      </c>
    </row>
    <row r="9" spans="1:31" x14ac:dyDescent="0.2">
      <c r="A9" s="1">
        <v>6</v>
      </c>
      <c r="B9" s="3" t="s">
        <v>317</v>
      </c>
      <c r="C9" s="65" t="s">
        <v>298</v>
      </c>
      <c r="D9" s="4"/>
      <c r="G9" s="3"/>
      <c r="H9" s="65" t="s">
        <v>298</v>
      </c>
      <c r="J9" s="6" t="s">
        <v>8</v>
      </c>
      <c r="K9" s="6" t="s">
        <v>160</v>
      </c>
      <c r="L9" s="6" t="s">
        <v>161</v>
      </c>
      <c r="M9" s="6" t="s">
        <v>178</v>
      </c>
      <c r="N9" s="6" t="s">
        <v>163</v>
      </c>
      <c r="O9" s="6" t="s">
        <v>195</v>
      </c>
      <c r="P9" s="6" t="s">
        <v>164</v>
      </c>
      <c r="Q9" s="6" t="s">
        <v>165</v>
      </c>
      <c r="R9" s="6" t="s">
        <v>212</v>
      </c>
      <c r="S9" s="6" t="s">
        <v>166</v>
      </c>
      <c r="T9" s="6" t="s">
        <v>184</v>
      </c>
      <c r="U9" s="6" t="s">
        <v>167</v>
      </c>
      <c r="V9" s="6" t="s">
        <v>186</v>
      </c>
      <c r="W9" s="6" t="s">
        <v>169</v>
      </c>
      <c r="X9" s="6" t="s">
        <v>206</v>
      </c>
      <c r="Y9" s="6" t="s">
        <v>170</v>
      </c>
      <c r="Z9" s="6" t="s">
        <v>217</v>
      </c>
      <c r="AA9" s="6" t="s">
        <v>171</v>
      </c>
      <c r="AB9" s="6" t="s">
        <v>172</v>
      </c>
      <c r="AC9" s="6" t="s">
        <v>173</v>
      </c>
      <c r="AD9" s="6" t="s">
        <v>174</v>
      </c>
      <c r="AE9" s="6" t="s">
        <v>175</v>
      </c>
    </row>
    <row r="10" spans="1:31" x14ac:dyDescent="0.2">
      <c r="A10" s="1">
        <v>7</v>
      </c>
      <c r="B10" s="3" t="s">
        <v>429</v>
      </c>
      <c r="C10" s="65" t="s">
        <v>225</v>
      </c>
      <c r="D10" s="4"/>
      <c r="G10" s="3"/>
      <c r="H10" s="65" t="s">
        <v>225</v>
      </c>
      <c r="J10" s="6" t="s">
        <v>9</v>
      </c>
      <c r="K10" s="6" t="s">
        <v>176</v>
      </c>
      <c r="L10" s="6" t="s">
        <v>177</v>
      </c>
      <c r="M10" s="6" t="s">
        <v>194</v>
      </c>
      <c r="N10" s="6" t="s">
        <v>179</v>
      </c>
      <c r="O10" s="6" t="s">
        <v>197</v>
      </c>
      <c r="P10" s="6" t="s">
        <v>181</v>
      </c>
      <c r="Q10" s="6" t="s">
        <v>182</v>
      </c>
      <c r="R10" s="6" t="s">
        <v>213</v>
      </c>
      <c r="S10" s="6" t="s">
        <v>183</v>
      </c>
      <c r="T10" s="6" t="s">
        <v>198</v>
      </c>
      <c r="U10" s="6" t="s">
        <v>185</v>
      </c>
      <c r="V10" s="6" t="s">
        <v>215</v>
      </c>
      <c r="W10" s="6" t="s">
        <v>187</v>
      </c>
      <c r="X10" s="6" t="s">
        <v>207</v>
      </c>
      <c r="Y10" s="6" t="s">
        <v>188</v>
      </c>
      <c r="Z10" s="6" t="s">
        <v>218</v>
      </c>
      <c r="AA10" s="6" t="s">
        <v>189</v>
      </c>
      <c r="AB10" s="6" t="s">
        <v>190</v>
      </c>
      <c r="AC10" s="6" t="s">
        <v>191</v>
      </c>
      <c r="AD10" s="6" t="s">
        <v>192</v>
      </c>
      <c r="AE10" s="6" t="s">
        <v>193</v>
      </c>
    </row>
    <row r="11" spans="1:31" x14ac:dyDescent="0.2">
      <c r="A11" s="1">
        <v>8</v>
      </c>
      <c r="B11" s="3" t="s">
        <v>271</v>
      </c>
      <c r="C11" s="65" t="s">
        <v>299</v>
      </c>
      <c r="D11" s="4"/>
      <c r="G11" s="3"/>
      <c r="H11" s="65" t="s">
        <v>299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x14ac:dyDescent="0.2">
      <c r="A12" s="1">
        <v>9</v>
      </c>
      <c r="B12" s="3" t="s">
        <v>319</v>
      </c>
      <c r="C12" s="65" t="s">
        <v>300</v>
      </c>
      <c r="D12" s="4"/>
      <c r="G12" s="3"/>
      <c r="H12" s="65" t="s">
        <v>300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</row>
    <row r="13" spans="1:31" x14ac:dyDescent="0.2">
      <c r="A13" s="1">
        <v>10</v>
      </c>
      <c r="B13" s="3" t="s">
        <v>388</v>
      </c>
      <c r="C13" s="65" t="s">
        <v>301</v>
      </c>
      <c r="D13" s="4"/>
      <c r="G13" s="3"/>
      <c r="H13" s="65" t="s">
        <v>301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</row>
    <row r="14" spans="1:31" x14ac:dyDescent="0.2">
      <c r="A14" s="1">
        <v>11</v>
      </c>
      <c r="B14" s="3" t="s">
        <v>321</v>
      </c>
      <c r="C14" s="65" t="s">
        <v>302</v>
      </c>
      <c r="D14" s="4"/>
      <c r="G14" s="3"/>
      <c r="H14" s="65" t="s">
        <v>302</v>
      </c>
      <c r="J14" s="22"/>
      <c r="K14" s="22"/>
      <c r="L14" s="22"/>
      <c r="M14" s="22"/>
      <c r="N14" s="22"/>
      <c r="P14" s="22"/>
      <c r="Q14" s="22"/>
      <c r="R14" s="22"/>
      <c r="S14" s="22"/>
      <c r="T14" s="22"/>
      <c r="U14" s="22"/>
      <c r="V14" s="22"/>
      <c r="W14" s="22"/>
      <c r="Y14" s="22"/>
      <c r="Z14" s="22"/>
      <c r="AA14" s="22"/>
      <c r="AB14" s="22"/>
      <c r="AC14" s="22"/>
      <c r="AD14" s="22"/>
      <c r="AE14" s="22"/>
    </row>
    <row r="15" spans="1:31" x14ac:dyDescent="0.2">
      <c r="A15" s="1">
        <v>12</v>
      </c>
      <c r="B15" s="3" t="s">
        <v>322</v>
      </c>
      <c r="C15" s="65" t="s">
        <v>303</v>
      </c>
      <c r="D15" s="4"/>
      <c r="G15" s="3"/>
      <c r="H15" s="65" t="s">
        <v>303</v>
      </c>
      <c r="J15" s="22"/>
      <c r="K15" s="22"/>
      <c r="L15" s="22"/>
      <c r="M15" s="22"/>
      <c r="N15" s="22"/>
      <c r="P15" s="22"/>
      <c r="Q15" s="22"/>
      <c r="R15" s="22"/>
      <c r="S15" s="22"/>
      <c r="T15" s="22"/>
      <c r="U15" s="22"/>
      <c r="V15" s="22"/>
      <c r="W15" s="22"/>
      <c r="Y15" s="22"/>
      <c r="Z15" s="22"/>
      <c r="AA15" s="22"/>
      <c r="AB15" s="22"/>
      <c r="AC15" s="22"/>
      <c r="AD15" s="22"/>
      <c r="AE15" s="22"/>
    </row>
    <row r="16" spans="1:31" x14ac:dyDescent="0.2">
      <c r="A16" s="1">
        <v>13</v>
      </c>
      <c r="B16" s="3" t="s">
        <v>391</v>
      </c>
      <c r="C16" s="65" t="s">
        <v>304</v>
      </c>
      <c r="D16" s="4"/>
      <c r="G16" s="3"/>
      <c r="H16" s="65" t="s">
        <v>304</v>
      </c>
      <c r="J16" s="22"/>
      <c r="K16" s="22"/>
      <c r="L16" s="22"/>
      <c r="M16" s="22"/>
      <c r="N16" s="22"/>
      <c r="P16" s="22"/>
      <c r="Q16" s="22"/>
      <c r="R16" s="22"/>
      <c r="S16" s="22"/>
      <c r="T16" s="22"/>
      <c r="V16" s="22"/>
      <c r="W16" s="22"/>
      <c r="Y16" s="22"/>
      <c r="Z16" s="22"/>
      <c r="AA16" s="22"/>
      <c r="AB16" s="22"/>
      <c r="AC16" s="22"/>
      <c r="AD16" s="22"/>
      <c r="AE16" s="22"/>
    </row>
    <row r="17" spans="1:28" x14ac:dyDescent="0.2">
      <c r="A17" s="1">
        <v>14</v>
      </c>
      <c r="B17" s="3" t="s">
        <v>369</v>
      </c>
      <c r="C17" s="65" t="s">
        <v>305</v>
      </c>
      <c r="D17" s="4"/>
      <c r="G17" s="3"/>
      <c r="H17" s="65" t="s">
        <v>305</v>
      </c>
      <c r="K17" s="16"/>
      <c r="L17" s="19"/>
      <c r="M17" s="20"/>
      <c r="N17" s="20"/>
      <c r="P17" s="20"/>
      <c r="Q17" s="20"/>
      <c r="R17" s="17"/>
      <c r="W17" s="22"/>
      <c r="Y17" s="20"/>
      <c r="Z17" s="19"/>
      <c r="AA17" s="6"/>
      <c r="AB17" s="6"/>
    </row>
    <row r="18" spans="1:28" x14ac:dyDescent="0.2">
      <c r="A18" s="1">
        <v>15</v>
      </c>
      <c r="B18" s="3" t="s">
        <v>325</v>
      </c>
      <c r="C18" s="65" t="s">
        <v>306</v>
      </c>
      <c r="D18" s="4"/>
      <c r="G18" s="3"/>
      <c r="H18" s="65" t="s">
        <v>306</v>
      </c>
      <c r="K18" s="16"/>
      <c r="L18" s="19"/>
      <c r="M18" s="20"/>
      <c r="N18" s="20"/>
      <c r="P18" s="20"/>
      <c r="Q18" s="20"/>
      <c r="R18" s="17"/>
      <c r="W18" s="22"/>
      <c r="Y18" s="20"/>
      <c r="Z18" s="19"/>
      <c r="AA18" s="6"/>
      <c r="AB18" s="6"/>
    </row>
    <row r="19" spans="1:28" x14ac:dyDescent="0.2">
      <c r="A19" s="1">
        <v>16</v>
      </c>
      <c r="B19" s="3" t="s">
        <v>326</v>
      </c>
      <c r="C19" s="65" t="s">
        <v>307</v>
      </c>
      <c r="D19" s="4"/>
      <c r="G19" s="3"/>
      <c r="H19" s="65" t="s">
        <v>307</v>
      </c>
      <c r="K19" s="16"/>
      <c r="L19" s="19"/>
      <c r="M19" s="20"/>
      <c r="N19" s="20"/>
      <c r="P19" s="20"/>
      <c r="Q19" s="20"/>
      <c r="R19" s="17"/>
      <c r="W19" s="22"/>
      <c r="Y19" s="20"/>
      <c r="Z19" s="19"/>
      <c r="AA19" s="6"/>
      <c r="AB19" s="6"/>
    </row>
    <row r="20" spans="1:28" x14ac:dyDescent="0.2">
      <c r="A20" s="1">
        <v>17</v>
      </c>
      <c r="B20" s="3" t="s">
        <v>372</v>
      </c>
      <c r="C20" s="65" t="s">
        <v>224</v>
      </c>
      <c r="D20" s="4"/>
      <c r="G20" s="3"/>
      <c r="H20" s="65" t="s">
        <v>224</v>
      </c>
      <c r="K20" s="16"/>
      <c r="L20" s="19"/>
      <c r="M20" s="20"/>
      <c r="N20" s="20"/>
      <c r="P20" s="20"/>
      <c r="Q20" s="20"/>
      <c r="R20" s="17"/>
      <c r="W20" s="22"/>
      <c r="Y20" s="20"/>
      <c r="Z20" s="19"/>
      <c r="AA20" s="6"/>
      <c r="AB20" s="6"/>
    </row>
    <row r="21" spans="1:28" x14ac:dyDescent="0.2">
      <c r="A21" s="1">
        <v>18</v>
      </c>
      <c r="B21" s="3" t="s">
        <v>462</v>
      </c>
      <c r="C21" s="65" t="s">
        <v>308</v>
      </c>
      <c r="D21" s="4"/>
      <c r="G21" s="3"/>
      <c r="H21" s="65" t="s">
        <v>308</v>
      </c>
      <c r="K21" s="16"/>
      <c r="L21" s="19"/>
      <c r="M21" s="20"/>
      <c r="N21" s="20"/>
      <c r="P21" s="20"/>
      <c r="Q21" s="20"/>
      <c r="R21" s="17"/>
      <c r="S21" s="6"/>
      <c r="T21" s="5"/>
      <c r="Y21" s="20"/>
      <c r="Z21" s="19"/>
      <c r="AA21" s="6"/>
      <c r="AB21" s="6"/>
    </row>
    <row r="22" spans="1:28" x14ac:dyDescent="0.2">
      <c r="A22" s="1">
        <v>20</v>
      </c>
      <c r="B22" s="3" t="s">
        <v>352</v>
      </c>
      <c r="C22" s="65" t="s">
        <v>309</v>
      </c>
      <c r="D22" s="4"/>
      <c r="G22" s="3"/>
      <c r="H22" s="65" t="s">
        <v>309</v>
      </c>
      <c r="K22" s="17"/>
      <c r="L22" s="17"/>
      <c r="M22" s="20"/>
      <c r="N22" s="20"/>
      <c r="P22" s="20"/>
      <c r="Q22" s="20"/>
      <c r="R22" s="17"/>
      <c r="S22" s="6"/>
      <c r="T22" s="6"/>
      <c r="Y22" s="20"/>
      <c r="Z22" s="19"/>
      <c r="AA22" s="6"/>
      <c r="AB22" s="6"/>
    </row>
    <row r="23" spans="1:28" x14ac:dyDescent="0.2">
      <c r="A23" s="1">
        <v>21</v>
      </c>
      <c r="B23" s="3" t="s">
        <v>330</v>
      </c>
      <c r="C23" s="65" t="s">
        <v>310</v>
      </c>
      <c r="D23" s="4"/>
      <c r="G23" s="3"/>
      <c r="H23" s="65" t="s">
        <v>310</v>
      </c>
      <c r="K23" s="16"/>
      <c r="L23" s="19"/>
      <c r="M23" s="20"/>
      <c r="N23" s="20"/>
      <c r="P23" s="20"/>
      <c r="Q23" s="20"/>
      <c r="R23" s="19"/>
      <c r="S23" s="6"/>
      <c r="T23" s="6"/>
      <c r="Y23" s="20"/>
      <c r="Z23" s="17"/>
      <c r="AA23" s="6"/>
      <c r="AB23" s="6"/>
    </row>
    <row r="24" spans="1:28" x14ac:dyDescent="0.2">
      <c r="A24" s="1">
        <v>22</v>
      </c>
      <c r="B24" s="3" t="s">
        <v>487</v>
      </c>
      <c r="C24" s="65" t="s">
        <v>311</v>
      </c>
      <c r="D24" s="4"/>
      <c r="G24" s="3"/>
      <c r="H24" s="65" t="s">
        <v>311</v>
      </c>
      <c r="K24" s="16"/>
      <c r="L24" s="19"/>
      <c r="M24" s="20"/>
      <c r="N24" s="20"/>
      <c r="P24" s="20"/>
      <c r="Q24" s="20"/>
      <c r="R24" s="19"/>
      <c r="S24" s="6"/>
      <c r="T24" s="6"/>
      <c r="Y24" s="20"/>
      <c r="Z24" s="19"/>
      <c r="AA24" s="6"/>
      <c r="AB24" s="6"/>
    </row>
    <row r="25" spans="1:28" x14ac:dyDescent="0.2">
      <c r="B25" s="3" t="s">
        <v>466</v>
      </c>
      <c r="C25" s="65" t="s">
        <v>312</v>
      </c>
      <c r="D25" s="4"/>
      <c r="G25" s="3"/>
      <c r="H25" s="65" t="s">
        <v>312</v>
      </c>
      <c r="K25" s="16"/>
      <c r="L25" s="19"/>
      <c r="M25" s="20"/>
      <c r="N25" s="20"/>
      <c r="P25" s="20"/>
      <c r="Q25" s="20"/>
      <c r="R25" s="19"/>
      <c r="S25" s="6"/>
      <c r="T25" s="6"/>
      <c r="Y25" s="20"/>
      <c r="Z25" s="19"/>
      <c r="AA25" s="6"/>
      <c r="AB25" s="6"/>
    </row>
    <row r="26" spans="1:28" x14ac:dyDescent="0.2">
      <c r="A26" s="1">
        <v>23</v>
      </c>
      <c r="B26" s="3" t="s">
        <v>333</v>
      </c>
      <c r="C26" s="65" t="s">
        <v>313</v>
      </c>
      <c r="D26" s="4"/>
      <c r="G26" s="3"/>
      <c r="H26" s="65" t="s">
        <v>313</v>
      </c>
      <c r="K26" s="16"/>
      <c r="L26" s="19"/>
      <c r="M26" s="20"/>
      <c r="N26" s="20"/>
      <c r="P26" s="20"/>
      <c r="Q26" s="20"/>
      <c r="R26" s="19"/>
      <c r="S26" s="6"/>
      <c r="T26" s="6"/>
      <c r="Y26" s="20"/>
      <c r="Z26" s="19"/>
      <c r="AA26" s="6"/>
      <c r="AB26" s="6"/>
    </row>
    <row r="27" spans="1:28" x14ac:dyDescent="0.2">
      <c r="B27" s="7"/>
      <c r="J27" s="5"/>
      <c r="K27" s="16"/>
      <c r="L27" s="19"/>
      <c r="M27" s="20"/>
      <c r="N27" s="20"/>
      <c r="P27" s="20"/>
      <c r="Q27" s="20"/>
      <c r="R27" s="19"/>
      <c r="S27" s="6"/>
      <c r="T27" s="6"/>
      <c r="Y27" s="20"/>
      <c r="Z27" s="19"/>
      <c r="AA27" s="6"/>
      <c r="AB27" s="6"/>
    </row>
    <row r="28" spans="1:28" x14ac:dyDescent="0.2">
      <c r="B28" s="8" t="s">
        <v>243</v>
      </c>
      <c r="C28" s="9"/>
      <c r="J28" s="6"/>
      <c r="K28" s="16"/>
      <c r="L28" s="19"/>
      <c r="M28" s="20"/>
      <c r="N28" s="20"/>
      <c r="P28" s="20"/>
      <c r="Q28" s="20"/>
      <c r="R28" s="19"/>
      <c r="S28" s="6"/>
      <c r="T28" s="6"/>
      <c r="Y28" s="20"/>
      <c r="Z28" s="19"/>
      <c r="AA28" s="6"/>
      <c r="AB28" s="6"/>
    </row>
    <row r="29" spans="1:28" x14ac:dyDescent="0.2">
      <c r="B29" s="10" t="s">
        <v>244</v>
      </c>
      <c r="C29" s="3"/>
      <c r="D29" s="11"/>
      <c r="J29" s="6"/>
      <c r="K29" s="16"/>
      <c r="L29" s="19"/>
      <c r="M29" s="20"/>
      <c r="N29" s="20"/>
      <c r="P29" s="20"/>
      <c r="Q29" s="20"/>
      <c r="R29" s="17"/>
      <c r="S29" s="6"/>
      <c r="T29" s="6"/>
      <c r="Y29" s="20"/>
      <c r="Z29" s="19"/>
    </row>
    <row r="30" spans="1:28" x14ac:dyDescent="0.2">
      <c r="B30" s="10" t="s">
        <v>245</v>
      </c>
      <c r="C30" s="3"/>
      <c r="D30" s="12"/>
      <c r="J30" s="6"/>
      <c r="K30" s="16"/>
      <c r="L30" s="19"/>
      <c r="M30" s="20"/>
      <c r="N30" s="20"/>
      <c r="P30" s="20"/>
      <c r="Q30" s="20"/>
      <c r="R30" s="19"/>
      <c r="S30" s="6"/>
      <c r="T30" s="5"/>
      <c r="Y30" s="20"/>
      <c r="Z30" s="19"/>
    </row>
    <row r="31" spans="1:28" x14ac:dyDescent="0.2">
      <c r="B31" s="10" t="s">
        <v>241</v>
      </c>
      <c r="C31" s="3"/>
      <c r="D31" s="12"/>
      <c r="J31" s="6"/>
      <c r="K31" s="16"/>
      <c r="L31" s="19"/>
      <c r="M31" s="20"/>
      <c r="N31" s="20"/>
      <c r="P31" s="20"/>
      <c r="Q31" s="20"/>
      <c r="R31" s="19"/>
      <c r="S31" s="6"/>
      <c r="T31" s="5"/>
      <c r="Y31" s="20"/>
      <c r="Z31" s="19"/>
    </row>
    <row r="32" spans="1:28" x14ac:dyDescent="0.2">
      <c r="B32" s="10" t="s">
        <v>246</v>
      </c>
      <c r="C32" s="3"/>
      <c r="D32" s="13"/>
      <c r="J32" s="6"/>
      <c r="K32" s="16"/>
      <c r="L32" s="19"/>
      <c r="M32" s="20"/>
      <c r="N32" s="20"/>
      <c r="P32" s="20"/>
      <c r="Q32" s="20"/>
      <c r="R32" s="19"/>
      <c r="S32" s="6"/>
      <c r="T32" s="6"/>
      <c r="Y32" s="20"/>
      <c r="Z32" s="19"/>
    </row>
    <row r="33" spans="2:26" ht="13.5" thickBot="1" x14ac:dyDescent="0.25">
      <c r="B33" s="7"/>
      <c r="J33" s="6"/>
      <c r="K33" s="16"/>
      <c r="L33" s="19"/>
      <c r="M33" s="20"/>
      <c r="N33" s="20"/>
      <c r="P33" s="20"/>
      <c r="Q33" s="20"/>
      <c r="R33" s="19"/>
      <c r="S33" s="6"/>
      <c r="T33" s="6"/>
      <c r="Y33" s="20"/>
      <c r="Z33" s="19"/>
    </row>
    <row r="34" spans="2:26" ht="13.5" thickBot="1" x14ac:dyDescent="0.25">
      <c r="B34" s="7"/>
      <c r="D34" s="14">
        <f>SUM(D4:D24)+SUM(D29:D32)</f>
        <v>0</v>
      </c>
      <c r="E34" s="1" t="s">
        <v>267</v>
      </c>
      <c r="J34" s="6"/>
      <c r="K34" s="16"/>
      <c r="L34" s="19"/>
      <c r="M34" s="20"/>
      <c r="N34" s="20"/>
      <c r="P34" s="20"/>
      <c r="Q34" s="20"/>
      <c r="R34" s="19"/>
      <c r="S34" s="6"/>
      <c r="T34" s="6"/>
      <c r="Y34" s="20"/>
      <c r="Z34" s="19"/>
    </row>
    <row r="35" spans="2:26" x14ac:dyDescent="0.2">
      <c r="B35" s="11" t="s">
        <v>263</v>
      </c>
      <c r="J35" s="6"/>
      <c r="K35" s="17"/>
      <c r="L35" s="17"/>
      <c r="M35" s="20"/>
      <c r="N35" s="20"/>
      <c r="P35" s="20"/>
      <c r="Q35" s="20"/>
      <c r="R35" s="19"/>
      <c r="Y35" s="20"/>
      <c r="Z35" s="19"/>
    </row>
    <row r="36" spans="2:26" x14ac:dyDescent="0.2">
      <c r="B36" s="4" t="s">
        <v>264</v>
      </c>
      <c r="C36" s="3"/>
      <c r="J36" s="6"/>
      <c r="K36" s="18"/>
      <c r="L36" s="17"/>
      <c r="M36" s="20"/>
      <c r="N36" s="20"/>
      <c r="P36" s="20"/>
      <c r="Q36" s="20"/>
      <c r="R36" s="19"/>
      <c r="V36" s="5"/>
      <c r="W36" s="5"/>
      <c r="Y36" s="20"/>
      <c r="Z36" s="17"/>
    </row>
    <row r="37" spans="2:26" x14ac:dyDescent="0.2">
      <c r="B37" s="4" t="s">
        <v>265</v>
      </c>
      <c r="C37" s="3"/>
      <c r="J37" s="6"/>
      <c r="K37" s="18"/>
      <c r="L37" s="17"/>
      <c r="M37" s="20"/>
      <c r="N37" s="20"/>
      <c r="P37" s="20"/>
      <c r="Q37" s="20"/>
      <c r="R37" s="19"/>
      <c r="V37" s="6"/>
      <c r="W37" s="6"/>
      <c r="Y37" s="20"/>
      <c r="Z37" s="19"/>
    </row>
    <row r="38" spans="2:26" x14ac:dyDescent="0.2">
      <c r="B38" s="4" t="s">
        <v>266</v>
      </c>
      <c r="C38" s="3"/>
      <c r="K38" s="18"/>
      <c r="L38" s="17"/>
      <c r="M38" s="20"/>
      <c r="N38" s="20"/>
      <c r="P38" s="20"/>
      <c r="Q38" s="20"/>
      <c r="R38" s="19"/>
      <c r="V38" s="6"/>
      <c r="W38" s="6"/>
      <c r="Y38" s="20"/>
      <c r="Z38" s="19"/>
    </row>
    <row r="39" spans="2:26" x14ac:dyDescent="0.2">
      <c r="J39" s="5"/>
      <c r="K39" s="18"/>
      <c r="L39" s="17"/>
      <c r="M39" s="20"/>
      <c r="N39" s="20"/>
      <c r="P39" s="20"/>
      <c r="Q39" s="20"/>
      <c r="R39" s="17"/>
      <c r="V39" s="6"/>
      <c r="W39" s="6"/>
      <c r="Y39" s="20"/>
      <c r="Z39" s="19"/>
    </row>
    <row r="40" spans="2:26" x14ac:dyDescent="0.2">
      <c r="J40" s="6"/>
      <c r="K40" s="18"/>
      <c r="L40" s="17"/>
      <c r="M40" s="20"/>
      <c r="N40" s="20"/>
      <c r="P40" s="20"/>
      <c r="Q40" s="20"/>
      <c r="R40" s="17"/>
      <c r="V40" s="6"/>
      <c r="W40" s="6"/>
      <c r="Y40" s="20"/>
      <c r="Z40" s="19"/>
    </row>
    <row r="41" spans="2:26" x14ac:dyDescent="0.2">
      <c r="J41" s="6"/>
      <c r="K41" s="18"/>
      <c r="L41" s="17"/>
      <c r="M41" s="20"/>
      <c r="N41" s="20"/>
      <c r="P41" s="20"/>
      <c r="Q41" s="20"/>
      <c r="R41" s="17"/>
      <c r="V41" s="6"/>
      <c r="W41" s="6"/>
      <c r="Y41" s="20"/>
      <c r="Z41" s="19"/>
    </row>
    <row r="42" spans="2:26" x14ac:dyDescent="0.2">
      <c r="M42" s="20"/>
      <c r="N42" s="20"/>
      <c r="P42" s="20"/>
      <c r="Q42" s="20"/>
      <c r="Y42" s="20"/>
    </row>
    <row r="43" spans="2:26" x14ac:dyDescent="0.2">
      <c r="M43" s="20"/>
      <c r="N43" s="20"/>
      <c r="P43" s="20"/>
      <c r="Q43" s="20"/>
      <c r="Y43" s="20"/>
    </row>
    <row r="44" spans="2:26" x14ac:dyDescent="0.2">
      <c r="M44" s="20"/>
      <c r="N44" s="20"/>
      <c r="P44" s="20"/>
      <c r="Q44" s="20"/>
      <c r="Y44" s="20"/>
    </row>
    <row r="45" spans="2:26" x14ac:dyDescent="0.2">
      <c r="M45" s="20"/>
      <c r="N45" s="20"/>
      <c r="P45" s="20"/>
      <c r="Q45" s="20"/>
      <c r="Y45" s="20"/>
    </row>
    <row r="46" spans="2:26" x14ac:dyDescent="0.2">
      <c r="M46" s="20"/>
      <c r="N46" s="20"/>
      <c r="P46" s="20"/>
      <c r="Q46" s="20"/>
      <c r="Y46" s="20"/>
    </row>
    <row r="47" spans="2:26" x14ac:dyDescent="0.2">
      <c r="M47" s="20"/>
      <c r="N47" s="20"/>
      <c r="P47" s="20"/>
      <c r="Q47" s="20"/>
      <c r="Y47" s="20"/>
    </row>
    <row r="48" spans="2:26" x14ac:dyDescent="0.2">
      <c r="M48" s="20"/>
      <c r="N48" s="20"/>
      <c r="P48" s="20"/>
      <c r="Q48" s="20"/>
      <c r="Y48" s="20"/>
    </row>
    <row r="49" spans="13:25" x14ac:dyDescent="0.2">
      <c r="M49" s="20"/>
      <c r="N49" s="20"/>
      <c r="P49" s="20"/>
      <c r="Q49" s="20"/>
      <c r="Y49" s="20"/>
    </row>
    <row r="50" spans="13:25" x14ac:dyDescent="0.2">
      <c r="M50" s="20"/>
      <c r="N50" s="20"/>
      <c r="P50" s="20"/>
      <c r="Q50" s="20"/>
      <c r="Y50" s="20"/>
    </row>
    <row r="51" spans="13:25" x14ac:dyDescent="0.2">
      <c r="M51" s="20"/>
      <c r="N51" s="20"/>
      <c r="P51" s="20"/>
      <c r="Q51" s="20"/>
      <c r="Y51" s="20"/>
    </row>
    <row r="52" spans="13:25" x14ac:dyDescent="0.2">
      <c r="M52" s="20"/>
      <c r="N52" s="20"/>
      <c r="P52" s="20"/>
      <c r="Q52" s="20"/>
      <c r="Y52" s="20"/>
    </row>
    <row r="53" spans="13:25" x14ac:dyDescent="0.2">
      <c r="M53" s="20"/>
      <c r="N53" s="20"/>
      <c r="P53" s="20"/>
      <c r="Q53" s="20"/>
      <c r="Y53" s="20"/>
    </row>
    <row r="54" spans="13:25" x14ac:dyDescent="0.2">
      <c r="M54" s="20"/>
      <c r="N54" s="20"/>
      <c r="P54" s="20"/>
      <c r="Q54" s="20"/>
      <c r="Y54" s="20"/>
    </row>
    <row r="55" spans="13:25" x14ac:dyDescent="0.2">
      <c r="M55" s="20"/>
      <c r="N55" s="20"/>
      <c r="P55" s="20"/>
      <c r="Q55" s="20"/>
      <c r="Y55" s="20"/>
    </row>
    <row r="56" spans="13:25" x14ac:dyDescent="0.2">
      <c r="M56" s="20"/>
      <c r="N56" s="20"/>
      <c r="P56" s="20"/>
      <c r="Q56" s="20"/>
      <c r="Y56" s="20"/>
    </row>
    <row r="57" spans="13:25" x14ac:dyDescent="0.2">
      <c r="M57" s="20"/>
      <c r="N57" s="20"/>
      <c r="P57" s="20"/>
      <c r="Q57" s="20"/>
      <c r="Y57" s="20"/>
    </row>
    <row r="58" spans="13:25" x14ac:dyDescent="0.2">
      <c r="M58" s="20"/>
      <c r="N58" s="20"/>
      <c r="P58" s="20"/>
      <c r="Q58" s="20"/>
      <c r="Y58" s="20"/>
    </row>
    <row r="59" spans="13:25" x14ac:dyDescent="0.2">
      <c r="M59" s="20"/>
      <c r="N59" s="20"/>
      <c r="P59" s="20"/>
      <c r="Q59" s="20"/>
      <c r="Y59" s="20"/>
    </row>
    <row r="60" spans="13:25" x14ac:dyDescent="0.2">
      <c r="M60" s="20"/>
      <c r="N60" s="20"/>
      <c r="P60" s="20"/>
      <c r="Q60" s="20"/>
      <c r="Y60" s="20"/>
    </row>
    <row r="61" spans="13:25" x14ac:dyDescent="0.2">
      <c r="M61" s="20"/>
      <c r="N61" s="20"/>
      <c r="P61" s="20"/>
      <c r="Q61" s="20"/>
      <c r="Y61" s="20"/>
    </row>
    <row r="62" spans="13:25" x14ac:dyDescent="0.2">
      <c r="M62" s="20"/>
      <c r="N62" s="20"/>
      <c r="P62" s="20"/>
      <c r="Q62" s="20"/>
      <c r="Y62" s="20"/>
    </row>
    <row r="63" spans="13:25" x14ac:dyDescent="0.2">
      <c r="M63" s="20"/>
      <c r="N63" s="20"/>
      <c r="P63" s="20"/>
      <c r="Q63" s="20"/>
      <c r="Y63" s="20"/>
    </row>
    <row r="64" spans="13:25" x14ac:dyDescent="0.2">
      <c r="M64" s="20"/>
      <c r="N64" s="20"/>
      <c r="P64" s="20"/>
      <c r="Q64" s="20"/>
      <c r="Y64" s="20"/>
    </row>
    <row r="65" spans="13:25" x14ac:dyDescent="0.2">
      <c r="M65" s="20"/>
      <c r="N65" s="20"/>
      <c r="P65" s="20"/>
      <c r="Q65" s="20"/>
      <c r="Y65" s="20"/>
    </row>
    <row r="66" spans="13:25" x14ac:dyDescent="0.2">
      <c r="M66" s="20"/>
      <c r="N66" s="20"/>
      <c r="P66" s="20"/>
      <c r="Q66" s="20"/>
      <c r="Y66" s="20"/>
    </row>
    <row r="67" spans="13:25" x14ac:dyDescent="0.2">
      <c r="M67" s="20"/>
      <c r="N67" s="20"/>
      <c r="P67" s="20"/>
      <c r="Q67" s="20"/>
      <c r="Y67" s="20"/>
    </row>
    <row r="68" spans="13:25" x14ac:dyDescent="0.2">
      <c r="M68" s="20"/>
      <c r="N68" s="20"/>
      <c r="P68" s="20"/>
      <c r="Q68" s="20"/>
      <c r="Y68" s="20"/>
    </row>
    <row r="69" spans="13:25" x14ac:dyDescent="0.2">
      <c r="M69" s="20"/>
      <c r="N69" s="20"/>
      <c r="P69" s="20"/>
      <c r="Q69" s="20"/>
      <c r="Y69" s="20"/>
    </row>
    <row r="70" spans="13:25" x14ac:dyDescent="0.2">
      <c r="M70" s="20"/>
      <c r="N70" s="20"/>
      <c r="P70" s="20"/>
      <c r="Q70" s="20"/>
      <c r="Y70" s="20"/>
    </row>
    <row r="71" spans="13:25" x14ac:dyDescent="0.2">
      <c r="M71" s="20"/>
      <c r="N71" s="20"/>
      <c r="P71" s="20"/>
      <c r="Q71" s="20"/>
      <c r="Y71" s="20"/>
    </row>
    <row r="72" spans="13:25" x14ac:dyDescent="0.2">
      <c r="M72" s="20"/>
      <c r="N72" s="20"/>
      <c r="P72" s="20"/>
      <c r="Q72" s="20"/>
      <c r="Y72" s="20"/>
    </row>
    <row r="73" spans="13:25" x14ac:dyDescent="0.2">
      <c r="M73" s="20"/>
      <c r="N73" s="20"/>
      <c r="P73" s="20"/>
      <c r="Q73" s="20"/>
      <c r="Y73" s="20"/>
    </row>
    <row r="74" spans="13:25" x14ac:dyDescent="0.2">
      <c r="M74" s="20"/>
      <c r="N74" s="20"/>
      <c r="P74" s="20"/>
      <c r="Q74" s="20"/>
      <c r="Y74" s="20"/>
    </row>
    <row r="75" spans="13:25" x14ac:dyDescent="0.2">
      <c r="M75" s="20"/>
      <c r="N75" s="20"/>
      <c r="P75" s="20"/>
      <c r="Q75" s="20"/>
      <c r="Y75" s="20"/>
    </row>
    <row r="76" spans="13:25" x14ac:dyDescent="0.2">
      <c r="M76" s="20"/>
      <c r="N76" s="20"/>
      <c r="Y76" s="20"/>
    </row>
    <row r="77" spans="13:25" x14ac:dyDescent="0.2">
      <c r="M77" s="20"/>
      <c r="N77" s="20"/>
      <c r="Y77" s="20"/>
    </row>
    <row r="78" spans="13:25" x14ac:dyDescent="0.2">
      <c r="M78" s="20"/>
      <c r="N78" s="20"/>
      <c r="Y78" s="20"/>
    </row>
    <row r="79" spans="13:25" x14ac:dyDescent="0.2">
      <c r="M79" s="20"/>
      <c r="N79" s="20"/>
      <c r="Y79" s="20"/>
    </row>
    <row r="80" spans="13:25" x14ac:dyDescent="0.2">
      <c r="M80" s="20"/>
      <c r="N80" s="20"/>
      <c r="Y80" s="20"/>
    </row>
    <row r="81" spans="13:25" x14ac:dyDescent="0.2">
      <c r="M81" s="20"/>
      <c r="N81" s="20"/>
      <c r="Y81" s="20"/>
    </row>
    <row r="82" spans="13:25" x14ac:dyDescent="0.2">
      <c r="M82" s="20"/>
      <c r="N82" s="20"/>
      <c r="Y82" s="20"/>
    </row>
    <row r="83" spans="13:25" x14ac:dyDescent="0.2">
      <c r="M83" s="20"/>
      <c r="N83" s="20"/>
      <c r="Y83" s="20"/>
    </row>
    <row r="84" spans="13:25" x14ac:dyDescent="0.2">
      <c r="Y84" s="20"/>
    </row>
    <row r="85" spans="13:25" x14ac:dyDescent="0.2">
      <c r="Y85" s="20"/>
    </row>
    <row r="86" spans="13:25" x14ac:dyDescent="0.2">
      <c r="Y86" s="20"/>
    </row>
    <row r="87" spans="13:25" x14ac:dyDescent="0.2">
      <c r="Y87" s="20"/>
    </row>
    <row r="88" spans="13:25" x14ac:dyDescent="0.2">
      <c r="Y88" s="20"/>
    </row>
    <row r="89" spans="13:25" x14ac:dyDescent="0.2">
      <c r="Y89" s="20"/>
    </row>
    <row r="90" spans="13:25" x14ac:dyDescent="0.2">
      <c r="Y90" s="20"/>
    </row>
    <row r="91" spans="13:25" x14ac:dyDescent="0.2">
      <c r="Y91" s="20"/>
    </row>
    <row r="92" spans="13:25" x14ac:dyDescent="0.2">
      <c r="X92" s="20"/>
      <c r="Y92" s="20"/>
    </row>
    <row r="93" spans="13:25" x14ac:dyDescent="0.2">
      <c r="X93" s="20"/>
      <c r="Y93" s="20"/>
    </row>
    <row r="94" spans="13:25" x14ac:dyDescent="0.2">
      <c r="X94" s="20"/>
      <c r="Y94" s="20"/>
    </row>
    <row r="95" spans="13:25" x14ac:dyDescent="0.2">
      <c r="X95" s="20"/>
      <c r="Y95" s="20"/>
    </row>
    <row r="96" spans="13:25" x14ac:dyDescent="0.2">
      <c r="X96" s="20"/>
      <c r="Y96" s="20"/>
    </row>
    <row r="97" spans="24:25" x14ac:dyDescent="0.2">
      <c r="X97" s="20"/>
      <c r="Y97" s="20"/>
    </row>
    <row r="98" spans="24:25" x14ac:dyDescent="0.2">
      <c r="X98" s="20"/>
      <c r="Y98" s="20"/>
    </row>
    <row r="99" spans="24:25" x14ac:dyDescent="0.2">
      <c r="X99" s="20"/>
      <c r="Y99" s="20"/>
    </row>
    <row r="100" spans="24:25" x14ac:dyDescent="0.2">
      <c r="X100" s="20"/>
      <c r="Y100" s="20"/>
    </row>
    <row r="101" spans="24:25" x14ac:dyDescent="0.2">
      <c r="X101" s="20"/>
      <c r="Y101" s="20"/>
    </row>
    <row r="102" spans="24:25" x14ac:dyDescent="0.2">
      <c r="X102" s="20"/>
      <c r="Y102" s="20"/>
    </row>
    <row r="103" spans="24:25" ht="13.5" thickBot="1" x14ac:dyDescent="0.25">
      <c r="X103" s="21"/>
      <c r="Y103" s="21"/>
    </row>
    <row r="104" spans="24:25" x14ac:dyDescent="0.2">
      <c r="X104" s="7"/>
      <c r="Y104" s="7"/>
    </row>
    <row r="105" spans="24:25" x14ac:dyDescent="0.2">
      <c r="X105" s="7"/>
      <c r="Y105" s="7"/>
    </row>
    <row r="106" spans="24:25" x14ac:dyDescent="0.2">
      <c r="X106" s="7"/>
      <c r="Y106" s="7"/>
    </row>
    <row r="107" spans="24:25" x14ac:dyDescent="0.2">
      <c r="X107" s="7"/>
      <c r="Y107" s="7"/>
    </row>
    <row r="108" spans="24:25" x14ac:dyDescent="0.2">
      <c r="X108" s="7"/>
      <c r="Y108" s="7"/>
    </row>
  </sheetData>
  <dataConsolidate/>
  <phoneticPr fontId="0" type="noConversion"/>
  <pageMargins left="0.75" right="0.75" top="1" bottom="1" header="0.5" footer="0.5"/>
  <pageSetup paperSize="9" orientation="portrait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23">
        <x14:dataValidation type="list" allowBlank="1" showInputMessage="1" showErrorMessage="1" xr:uid="{D7C9F298-81C0-4A13-9CBF-022A5C0D0029}">
          <x14:formula1>
            <xm:f>riders!$V$2:$V$9</xm:f>
          </x14:formula1>
          <xm:sqref>B25 G25</xm:sqref>
        </x14:dataValidation>
        <x14:dataValidation type="list" allowBlank="1" showInputMessage="1" showErrorMessage="1" prompt="Select a rider" xr:uid="{E3BB6E16-8CA1-4042-9A2F-A896D566E093}">
          <x14:formula1>
            <xm:f>riders!$A$2:$A$9</xm:f>
          </x14:formula1>
          <xm:sqref>B4 G4</xm:sqref>
        </x14:dataValidation>
        <x14:dataValidation type="list" allowBlank="1" showInputMessage="1" showErrorMessage="1" xr:uid="{D9BDF003-9100-4A1C-A116-B4CDF32159F3}">
          <x14:formula1>
            <xm:f>riders!$B$2:$B$9</xm:f>
          </x14:formula1>
          <xm:sqref>B5 G5</xm:sqref>
        </x14:dataValidation>
        <x14:dataValidation type="list" allowBlank="1" showInputMessage="1" showErrorMessage="1" xr:uid="{A52E5358-CACD-46FE-B712-50EEFBDF4F58}">
          <x14:formula1>
            <xm:f>riders!$C$2:$C$9</xm:f>
          </x14:formula1>
          <xm:sqref>B6 G6</xm:sqref>
        </x14:dataValidation>
        <x14:dataValidation type="list" allowBlank="1" showInputMessage="1" showErrorMessage="1" xr:uid="{C7B4F7A8-5242-4E38-A5A9-D3C2E05C4B4E}">
          <x14:formula1>
            <xm:f>riders!$D$2:$D$9</xm:f>
          </x14:formula1>
          <xm:sqref>B7 G7</xm:sqref>
        </x14:dataValidation>
        <x14:dataValidation type="list" allowBlank="1" showInputMessage="1" showErrorMessage="1" xr:uid="{A3E099C6-2C9F-4600-95F2-00E31DD58E4F}">
          <x14:formula1>
            <xm:f>riders!$E$2:$E$9</xm:f>
          </x14:formula1>
          <xm:sqref>B8 G8</xm:sqref>
        </x14:dataValidation>
        <x14:dataValidation type="list" allowBlank="1" showInputMessage="1" showErrorMessage="1" xr:uid="{217678EE-FA5F-4207-87FF-824CED746A71}">
          <x14:formula1>
            <xm:f>riders!$F$2:$F$9</xm:f>
          </x14:formula1>
          <xm:sqref>B9 G9</xm:sqref>
        </x14:dataValidation>
        <x14:dataValidation type="list" allowBlank="1" showInputMessage="1" showErrorMessage="1" xr:uid="{FBB42F12-2ABC-405A-8A5B-5FD170444DB5}">
          <x14:formula1>
            <xm:f>riders!$G$2:$G$9</xm:f>
          </x14:formula1>
          <xm:sqref>B10 G10</xm:sqref>
        </x14:dataValidation>
        <x14:dataValidation type="list" allowBlank="1" showInputMessage="1" showErrorMessage="1" xr:uid="{9F02553E-F6F8-47CF-94FD-F2A748FE98E0}">
          <x14:formula1>
            <xm:f>riders!$H$2:$H$9</xm:f>
          </x14:formula1>
          <xm:sqref>B11 G11</xm:sqref>
        </x14:dataValidation>
        <x14:dataValidation type="list" allowBlank="1" showInputMessage="1" showErrorMessage="1" xr:uid="{8E182BD1-D09B-40DB-81F5-414B20337435}">
          <x14:formula1>
            <xm:f>riders!$I$2:$I$9</xm:f>
          </x14:formula1>
          <xm:sqref>B12 G12</xm:sqref>
        </x14:dataValidation>
        <x14:dataValidation type="list" allowBlank="1" showInputMessage="1" showErrorMessage="1" xr:uid="{838DD60D-DEDE-4C6A-BA0D-63FE653C5E2A}">
          <x14:formula1>
            <xm:f>riders!$J$2:$J$9</xm:f>
          </x14:formula1>
          <xm:sqref>B13 G13</xm:sqref>
        </x14:dataValidation>
        <x14:dataValidation type="list" allowBlank="1" showInputMessage="1" showErrorMessage="1" xr:uid="{FB2C3F62-C284-448C-9B07-983B18E06B4E}">
          <x14:formula1>
            <xm:f>riders!$K$2:$K$9</xm:f>
          </x14:formula1>
          <xm:sqref>B14 G14</xm:sqref>
        </x14:dataValidation>
        <x14:dataValidation type="list" allowBlank="1" showInputMessage="1" showErrorMessage="1" xr:uid="{19131B22-C3B8-4921-A61A-DA0608FCFE95}">
          <x14:formula1>
            <xm:f>riders!$L$2:$L$9</xm:f>
          </x14:formula1>
          <xm:sqref>B15 G15</xm:sqref>
        </x14:dataValidation>
        <x14:dataValidation type="list" allowBlank="1" showInputMessage="1" showErrorMessage="1" xr:uid="{E9742983-DBA6-4E0B-AE91-AA3B892DA75D}">
          <x14:formula1>
            <xm:f>riders!$M$2:$M$9</xm:f>
          </x14:formula1>
          <xm:sqref>B16 G16</xm:sqref>
        </x14:dataValidation>
        <x14:dataValidation type="list" allowBlank="1" showInputMessage="1" showErrorMessage="1" xr:uid="{0E2B9011-11F1-488B-A716-318FCA9371DE}">
          <x14:formula1>
            <xm:f>riders!$N$2:$N$9</xm:f>
          </x14:formula1>
          <xm:sqref>B17 G17</xm:sqref>
        </x14:dataValidation>
        <x14:dataValidation type="list" allowBlank="1" showInputMessage="1" showErrorMessage="1" xr:uid="{2661E51B-8310-4BBE-9FFF-95CFE9F75576}">
          <x14:formula1>
            <xm:f>riders!$O$2:$O$9</xm:f>
          </x14:formula1>
          <xm:sqref>B18 G18</xm:sqref>
        </x14:dataValidation>
        <x14:dataValidation type="list" allowBlank="1" showInputMessage="1" showErrorMessage="1" xr:uid="{8E2F9DB2-FADE-4586-95A6-46CC1E092E26}">
          <x14:formula1>
            <xm:f>riders!$P$2:$P$9</xm:f>
          </x14:formula1>
          <xm:sqref>B19 G19</xm:sqref>
        </x14:dataValidation>
        <x14:dataValidation type="list" allowBlank="1" showInputMessage="1" showErrorMessage="1" xr:uid="{2BA61F7D-B939-460B-B1A9-73307B5B3EDD}">
          <x14:formula1>
            <xm:f>riders!$Q$2:$Q$9</xm:f>
          </x14:formula1>
          <xm:sqref>B20 G20</xm:sqref>
        </x14:dataValidation>
        <x14:dataValidation type="list" allowBlank="1" showInputMessage="1" showErrorMessage="1" xr:uid="{92515FEB-187B-43BF-B206-78318CA8960A}">
          <x14:formula1>
            <xm:f>riders!$R$2:$R$9</xm:f>
          </x14:formula1>
          <xm:sqref>B21 G21</xm:sqref>
        </x14:dataValidation>
        <x14:dataValidation type="list" allowBlank="1" showInputMessage="1" showErrorMessage="1" xr:uid="{0E41E2AD-A768-44AE-9796-B8DF7CE2CF40}">
          <x14:formula1>
            <xm:f>riders!$S$2:$S$9</xm:f>
          </x14:formula1>
          <xm:sqref>B22 G22</xm:sqref>
        </x14:dataValidation>
        <x14:dataValidation type="list" allowBlank="1" showInputMessage="1" showErrorMessage="1" xr:uid="{3C3C954A-AA38-476A-9CAF-BF6294DD8D12}">
          <x14:formula1>
            <xm:f>riders!$T$2:$T$9</xm:f>
          </x14:formula1>
          <xm:sqref>B23 G23</xm:sqref>
        </x14:dataValidation>
        <x14:dataValidation type="list" allowBlank="1" showInputMessage="1" showErrorMessage="1" xr:uid="{DAC3FE61-30E6-45B1-9FF3-9E6ADDEE4018}">
          <x14:formula1>
            <xm:f>riders!$U$2:$U$9</xm:f>
          </x14:formula1>
          <xm:sqref>B24 G24</xm:sqref>
        </x14:dataValidation>
        <x14:dataValidation type="list" allowBlank="1" showInputMessage="1" showErrorMessage="1" xr:uid="{C5EEF543-8B3D-48E5-B8E0-3879C7FEC398}">
          <x14:formula1>
            <xm:f>riders!$W$2:$W$9</xm:f>
          </x14:formula1>
          <xm:sqref>B26 G26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6"/>
  <sheetViews>
    <sheetView topLeftCell="L1" zoomScale="115" workbookViewId="0">
      <selection activeCell="M33" sqref="A1:XFD1048576"/>
    </sheetView>
  </sheetViews>
  <sheetFormatPr defaultColWidth="16.25" defaultRowHeight="11.25" x14ac:dyDescent="0.15"/>
  <cols>
    <col min="1" max="1" width="18.5" bestFit="1" customWidth="1"/>
    <col min="2" max="2" width="17.75" bestFit="1" customWidth="1"/>
    <col min="3" max="3" width="15.625" bestFit="1" customWidth="1"/>
    <col min="4" max="4" width="18.875" bestFit="1" customWidth="1"/>
    <col min="5" max="5" width="15.625" bestFit="1" customWidth="1"/>
    <col min="6" max="6" width="16.625" bestFit="1" customWidth="1"/>
    <col min="7" max="7" width="20.125" bestFit="1" customWidth="1"/>
    <col min="8" max="8" width="16.375" bestFit="1" customWidth="1"/>
    <col min="9" max="9" width="16.25" bestFit="1" customWidth="1"/>
    <col min="10" max="10" width="20.875" bestFit="1" customWidth="1"/>
    <col min="11" max="11" width="17.875" bestFit="1" customWidth="1"/>
    <col min="12" max="12" width="17.75" bestFit="1" customWidth="1"/>
    <col min="13" max="13" width="17.875" bestFit="1" customWidth="1"/>
    <col min="14" max="14" width="24.625" bestFit="1" customWidth="1"/>
    <col min="15" max="15" width="19.75" bestFit="1" customWidth="1"/>
    <col min="16" max="16" width="15" bestFit="1" customWidth="1"/>
    <col min="17" max="17" width="16.875" bestFit="1" customWidth="1"/>
    <col min="18" max="18" width="16.125" bestFit="1" customWidth="1"/>
    <col min="19" max="19" width="18.875" bestFit="1" customWidth="1"/>
    <col min="20" max="20" width="19.25" bestFit="1" customWidth="1"/>
    <col min="21" max="21" width="14.375" bestFit="1" customWidth="1"/>
    <col min="22" max="22" width="19.125" bestFit="1" customWidth="1"/>
  </cols>
  <sheetData>
    <row r="1" spans="1:23" s="62" customFormat="1" x14ac:dyDescent="0.15">
      <c r="A1" s="62" t="s">
        <v>293</v>
      </c>
      <c r="B1" s="62" t="s">
        <v>294</v>
      </c>
      <c r="C1" s="62" t="s">
        <v>295</v>
      </c>
      <c r="D1" s="62" t="s">
        <v>296</v>
      </c>
      <c r="E1" s="62" t="s">
        <v>297</v>
      </c>
      <c r="F1" s="62" t="s">
        <v>298</v>
      </c>
      <c r="G1" s="62" t="s">
        <v>225</v>
      </c>
      <c r="H1" s="62" t="s">
        <v>299</v>
      </c>
      <c r="I1" s="62" t="s">
        <v>300</v>
      </c>
      <c r="J1" s="62" t="s">
        <v>301</v>
      </c>
      <c r="K1" s="62" t="s">
        <v>302</v>
      </c>
      <c r="L1" s="62" t="s">
        <v>303</v>
      </c>
      <c r="M1" s="62" t="s">
        <v>304</v>
      </c>
      <c r="N1" s="62" t="s">
        <v>305</v>
      </c>
      <c r="O1" s="62" t="s">
        <v>306</v>
      </c>
      <c r="P1" s="62" t="s">
        <v>307</v>
      </c>
      <c r="Q1" s="62" t="s">
        <v>224</v>
      </c>
      <c r="R1" s="62" t="s">
        <v>308</v>
      </c>
      <c r="S1" s="62" t="s">
        <v>309</v>
      </c>
      <c r="T1" s="62" t="s">
        <v>310</v>
      </c>
      <c r="U1" s="62" t="s">
        <v>311</v>
      </c>
      <c r="V1" s="62" t="s">
        <v>312</v>
      </c>
      <c r="W1" s="62" t="s">
        <v>313</v>
      </c>
    </row>
    <row r="2" spans="1:23" s="61" customFormat="1" x14ac:dyDescent="0.15">
      <c r="A2" s="61" t="s">
        <v>268</v>
      </c>
      <c r="B2" s="61" t="s">
        <v>275</v>
      </c>
      <c r="C2" s="61" t="s">
        <v>314</v>
      </c>
      <c r="D2" s="61" t="s">
        <v>315</v>
      </c>
      <c r="E2" s="61" t="s">
        <v>316</v>
      </c>
      <c r="F2" s="61" t="s">
        <v>317</v>
      </c>
      <c r="G2" s="61" t="s">
        <v>318</v>
      </c>
      <c r="H2" s="61" t="s">
        <v>271</v>
      </c>
      <c r="I2" s="61" t="s">
        <v>319</v>
      </c>
      <c r="J2" s="61" t="s">
        <v>320</v>
      </c>
      <c r="K2" s="61" t="s">
        <v>321</v>
      </c>
      <c r="L2" s="61" t="s">
        <v>322</v>
      </c>
      <c r="M2" s="61" t="s">
        <v>323</v>
      </c>
      <c r="N2" s="61" t="s">
        <v>324</v>
      </c>
      <c r="O2" s="61" t="s">
        <v>325</v>
      </c>
      <c r="P2" s="61" t="s">
        <v>326</v>
      </c>
      <c r="Q2" s="61" t="s">
        <v>327</v>
      </c>
      <c r="R2" s="61" t="s">
        <v>328</v>
      </c>
      <c r="S2" s="61" t="s">
        <v>329</v>
      </c>
      <c r="T2" s="61" t="s">
        <v>330</v>
      </c>
      <c r="U2" s="61" t="s">
        <v>331</v>
      </c>
      <c r="V2" s="61" t="s">
        <v>332</v>
      </c>
      <c r="W2" s="61" t="s">
        <v>333</v>
      </c>
    </row>
    <row r="3" spans="1:23" s="61" customFormat="1" x14ac:dyDescent="0.15">
      <c r="A3" s="61" t="s">
        <v>334</v>
      </c>
      <c r="B3" s="61" t="s">
        <v>335</v>
      </c>
      <c r="C3" s="61" t="s">
        <v>336</v>
      </c>
      <c r="D3" s="61" t="s">
        <v>337</v>
      </c>
      <c r="E3" s="61" t="s">
        <v>338</v>
      </c>
      <c r="F3" s="61" t="s">
        <v>339</v>
      </c>
      <c r="G3" s="61" t="s">
        <v>340</v>
      </c>
      <c r="H3" s="61" t="s">
        <v>341</v>
      </c>
      <c r="I3" s="61" t="s">
        <v>342</v>
      </c>
      <c r="J3" s="61" t="s">
        <v>343</v>
      </c>
      <c r="K3" s="61" t="s">
        <v>344</v>
      </c>
      <c r="L3" s="61" t="s">
        <v>345</v>
      </c>
      <c r="M3" s="61" t="s">
        <v>346</v>
      </c>
      <c r="N3" s="61" t="s">
        <v>347</v>
      </c>
      <c r="O3" s="61" t="s">
        <v>348</v>
      </c>
      <c r="P3" s="61" t="s">
        <v>349</v>
      </c>
      <c r="Q3" s="61" t="s">
        <v>350</v>
      </c>
      <c r="R3" s="61" t="s">
        <v>351</v>
      </c>
      <c r="S3" s="61" t="s">
        <v>352</v>
      </c>
      <c r="T3" s="61" t="s">
        <v>353</v>
      </c>
      <c r="U3" s="61" t="s">
        <v>354</v>
      </c>
      <c r="V3" s="61" t="s">
        <v>355</v>
      </c>
      <c r="W3" s="61" t="s">
        <v>356</v>
      </c>
    </row>
    <row r="4" spans="1:23" s="61" customFormat="1" x14ac:dyDescent="0.15">
      <c r="A4" s="61" t="s">
        <v>357</v>
      </c>
      <c r="B4" s="61" t="s">
        <v>272</v>
      </c>
      <c r="C4" s="61" t="s">
        <v>358</v>
      </c>
      <c r="D4" s="61" t="s">
        <v>359</v>
      </c>
      <c r="E4" s="61" t="s">
        <v>360</v>
      </c>
      <c r="F4" s="61" t="s">
        <v>361</v>
      </c>
      <c r="G4" s="61" t="s">
        <v>362</v>
      </c>
      <c r="H4" s="61" t="s">
        <v>363</v>
      </c>
      <c r="I4" s="61" t="s">
        <v>364</v>
      </c>
      <c r="J4" s="61" t="s">
        <v>365</v>
      </c>
      <c r="K4" s="61" t="s">
        <v>366</v>
      </c>
      <c r="L4" s="61" t="s">
        <v>367</v>
      </c>
      <c r="M4" s="61" t="s">
        <v>368</v>
      </c>
      <c r="N4" s="61" t="s">
        <v>369</v>
      </c>
      <c r="O4" s="61" t="s">
        <v>370</v>
      </c>
      <c r="P4" s="61" t="s">
        <v>371</v>
      </c>
      <c r="Q4" s="61" t="s">
        <v>372</v>
      </c>
      <c r="R4" s="61" t="s">
        <v>373</v>
      </c>
      <c r="S4" s="61" t="s">
        <v>374</v>
      </c>
      <c r="T4" s="61" t="s">
        <v>375</v>
      </c>
      <c r="U4" s="61" t="s">
        <v>376</v>
      </c>
      <c r="V4" s="61" t="s">
        <v>377</v>
      </c>
      <c r="W4" s="61" t="s">
        <v>378</v>
      </c>
    </row>
    <row r="5" spans="1:23" s="61" customFormat="1" x14ac:dyDescent="0.15">
      <c r="A5" s="61" t="s">
        <v>379</v>
      </c>
      <c r="B5" s="61" t="s">
        <v>380</v>
      </c>
      <c r="C5" s="61" t="s">
        <v>381</v>
      </c>
      <c r="D5" s="61" t="s">
        <v>382</v>
      </c>
      <c r="E5" s="61" t="s">
        <v>383</v>
      </c>
      <c r="F5" s="61" t="s">
        <v>384</v>
      </c>
      <c r="G5" s="61" t="s">
        <v>385</v>
      </c>
      <c r="H5" s="61" t="s">
        <v>386</v>
      </c>
      <c r="I5" s="61" t="s">
        <v>387</v>
      </c>
      <c r="J5" s="61" t="s">
        <v>388</v>
      </c>
      <c r="K5" s="61" t="s">
        <v>389</v>
      </c>
      <c r="L5" s="61" t="s">
        <v>390</v>
      </c>
      <c r="M5" s="61" t="s">
        <v>391</v>
      </c>
      <c r="N5" s="61" t="s">
        <v>392</v>
      </c>
      <c r="O5" s="61" t="s">
        <v>393</v>
      </c>
      <c r="P5" s="61" t="s">
        <v>394</v>
      </c>
      <c r="Q5" s="61" t="s">
        <v>395</v>
      </c>
      <c r="R5" s="61" t="s">
        <v>396</v>
      </c>
      <c r="S5" s="61" t="s">
        <v>397</v>
      </c>
      <c r="T5" s="61" t="s">
        <v>398</v>
      </c>
      <c r="U5" s="61" t="s">
        <v>399</v>
      </c>
      <c r="V5" s="61" t="s">
        <v>400</v>
      </c>
      <c r="W5" s="61" t="s">
        <v>401</v>
      </c>
    </row>
    <row r="6" spans="1:23" s="61" customFormat="1" x14ac:dyDescent="0.15">
      <c r="A6" s="61" t="s">
        <v>402</v>
      </c>
      <c r="B6" s="61" t="s">
        <v>403</v>
      </c>
      <c r="C6" s="61" t="s">
        <v>404</v>
      </c>
      <c r="D6" s="61" t="s">
        <v>405</v>
      </c>
      <c r="E6" s="61" t="s">
        <v>406</v>
      </c>
      <c r="F6" s="61" t="s">
        <v>407</v>
      </c>
      <c r="G6" s="61" t="s">
        <v>408</v>
      </c>
      <c r="H6" s="61" t="s">
        <v>409</v>
      </c>
      <c r="I6" s="61" t="s">
        <v>410</v>
      </c>
      <c r="J6" s="61" t="s">
        <v>411</v>
      </c>
      <c r="K6" s="61" t="s">
        <v>412</v>
      </c>
      <c r="L6" s="61" t="s">
        <v>413</v>
      </c>
      <c r="M6" s="61" t="s">
        <v>414</v>
      </c>
      <c r="N6" s="61" t="s">
        <v>415</v>
      </c>
      <c r="O6" s="61" t="s">
        <v>416</v>
      </c>
      <c r="P6" s="61" t="s">
        <v>417</v>
      </c>
      <c r="Q6" s="61" t="s">
        <v>418</v>
      </c>
      <c r="R6" s="61" t="s">
        <v>419</v>
      </c>
      <c r="S6" s="61" t="s">
        <v>420</v>
      </c>
      <c r="T6" s="61" t="s">
        <v>421</v>
      </c>
      <c r="U6" s="61" t="s">
        <v>422</v>
      </c>
      <c r="V6" s="61" t="s">
        <v>423</v>
      </c>
      <c r="W6" s="61" t="s">
        <v>424</v>
      </c>
    </row>
    <row r="7" spans="1:23" s="61" customFormat="1" x14ac:dyDescent="0.15">
      <c r="A7" s="61" t="s">
        <v>270</v>
      </c>
      <c r="B7" s="61" t="s">
        <v>273</v>
      </c>
      <c r="C7" s="61" t="s">
        <v>425</v>
      </c>
      <c r="D7" s="61" t="s">
        <v>426</v>
      </c>
      <c r="E7" s="61" t="s">
        <v>427</v>
      </c>
      <c r="F7" s="61" t="s">
        <v>428</v>
      </c>
      <c r="G7" s="61" t="s">
        <v>429</v>
      </c>
      <c r="H7" s="61" t="s">
        <v>430</v>
      </c>
      <c r="I7" s="61" t="s">
        <v>431</v>
      </c>
      <c r="J7" s="61" t="s">
        <v>432</v>
      </c>
      <c r="K7" s="61" t="s">
        <v>433</v>
      </c>
      <c r="L7" s="61" t="s">
        <v>434</v>
      </c>
      <c r="M7" s="61" t="s">
        <v>435</v>
      </c>
      <c r="N7" s="61" t="s">
        <v>436</v>
      </c>
      <c r="O7" s="61" t="s">
        <v>437</v>
      </c>
      <c r="P7" s="61" t="s">
        <v>438</v>
      </c>
      <c r="Q7" s="61" t="s">
        <v>439</v>
      </c>
      <c r="R7" s="61" t="s">
        <v>440</v>
      </c>
      <c r="S7" s="61" t="s">
        <v>441</v>
      </c>
      <c r="T7" s="61" t="s">
        <v>442</v>
      </c>
      <c r="U7" s="61" t="s">
        <v>443</v>
      </c>
      <c r="V7" s="61" t="s">
        <v>444</v>
      </c>
      <c r="W7" s="61" t="s">
        <v>445</v>
      </c>
    </row>
    <row r="8" spans="1:23" s="61" customFormat="1" x14ac:dyDescent="0.15">
      <c r="A8" s="61" t="s">
        <v>446</v>
      </c>
      <c r="B8" s="61" t="s">
        <v>274</v>
      </c>
      <c r="C8" s="61" t="s">
        <v>447</v>
      </c>
      <c r="D8" s="61" t="s">
        <v>448</v>
      </c>
      <c r="E8" s="61" t="s">
        <v>449</v>
      </c>
      <c r="F8" s="61" t="s">
        <v>450</v>
      </c>
      <c r="G8" s="61" t="s">
        <v>451</v>
      </c>
      <c r="H8" s="61" t="s">
        <v>452</v>
      </c>
      <c r="I8" s="61" t="s">
        <v>453</v>
      </c>
      <c r="J8" s="61" t="s">
        <v>454</v>
      </c>
      <c r="K8" s="61" t="s">
        <v>455</v>
      </c>
      <c r="L8" s="61" t="s">
        <v>456</v>
      </c>
      <c r="M8" s="61" t="s">
        <v>457</v>
      </c>
      <c r="N8" s="61" t="s">
        <v>458</v>
      </c>
      <c r="O8" s="61" t="s">
        <v>459</v>
      </c>
      <c r="P8" s="61" t="s">
        <v>460</v>
      </c>
      <c r="Q8" s="61" t="s">
        <v>461</v>
      </c>
      <c r="R8" s="61" t="s">
        <v>462</v>
      </c>
      <c r="S8" s="61" t="s">
        <v>463</v>
      </c>
      <c r="T8" s="61" t="s">
        <v>464</v>
      </c>
      <c r="U8" s="61" t="s">
        <v>465</v>
      </c>
      <c r="V8" s="61" t="s">
        <v>466</v>
      </c>
      <c r="W8" s="61" t="s">
        <v>467</v>
      </c>
    </row>
    <row r="9" spans="1:23" s="61" customFormat="1" x14ac:dyDescent="0.15">
      <c r="A9" s="61" t="s">
        <v>468</v>
      </c>
      <c r="B9" s="61" t="s">
        <v>469</v>
      </c>
      <c r="C9" s="61" t="s">
        <v>470</v>
      </c>
      <c r="D9" s="61" t="s">
        <v>471</v>
      </c>
      <c r="E9" s="61" t="s">
        <v>472</v>
      </c>
      <c r="F9" s="61" t="s">
        <v>473</v>
      </c>
      <c r="G9" s="61" t="s">
        <v>474</v>
      </c>
      <c r="H9" s="61" t="s">
        <v>475</v>
      </c>
      <c r="I9" s="61" t="s">
        <v>476</v>
      </c>
      <c r="J9" s="61" t="s">
        <v>477</v>
      </c>
      <c r="K9" s="61" t="s">
        <v>478</v>
      </c>
      <c r="L9" s="61" t="s">
        <v>269</v>
      </c>
      <c r="M9" s="61" t="s">
        <v>479</v>
      </c>
      <c r="N9" s="61" t="s">
        <v>480</v>
      </c>
      <c r="O9" s="61" t="s">
        <v>481</v>
      </c>
      <c r="P9" s="61" t="s">
        <v>482</v>
      </c>
      <c r="Q9" s="61" t="s">
        <v>483</v>
      </c>
      <c r="R9" s="61" t="s">
        <v>484</v>
      </c>
      <c r="S9" s="61" t="s">
        <v>485</v>
      </c>
      <c r="T9" s="61" t="s">
        <v>486</v>
      </c>
      <c r="U9" s="61" t="s">
        <v>487</v>
      </c>
      <c r="V9" s="61" t="s">
        <v>488</v>
      </c>
      <c r="W9" s="61" t="s">
        <v>489</v>
      </c>
    </row>
    <row r="10" spans="1:23" s="61" customFormat="1" x14ac:dyDescent="0.15"/>
    <row r="11" spans="1:23" s="61" customFormat="1" x14ac:dyDescent="0.15"/>
    <row r="12" spans="1:23" s="61" customFormat="1" x14ac:dyDescent="0.15"/>
    <row r="13" spans="1:23" s="61" customFormat="1" x14ac:dyDescent="0.15"/>
    <row r="14" spans="1:23" s="61" customFormat="1" x14ac:dyDescent="0.15"/>
    <row r="15" spans="1:23" s="61" customFormat="1" x14ac:dyDescent="0.15"/>
    <row r="16" spans="1:23" x14ac:dyDescent="0.15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</row>
  </sheetData>
  <phoneticPr fontId="9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296729-122D-446B-AD88-F52341EDC1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25</vt:i4>
      </vt:variant>
    </vt:vector>
  </HeadingPairs>
  <TitlesOfParts>
    <vt:vector size="28" baseType="lpstr">
      <vt:lpstr>rules</vt:lpstr>
      <vt:lpstr>form</vt:lpstr>
      <vt:lpstr>riders</vt:lpstr>
      <vt:lpstr>AG2R_LA_Mondiale</vt:lpstr>
      <vt:lpstr>Astana_Pro_Team</vt:lpstr>
      <vt:lpstr>BMC_Racing_Team</vt:lpstr>
      <vt:lpstr>Bora_argon_18</vt:lpstr>
      <vt:lpstr>Cannondale_Garmin</vt:lpstr>
      <vt:lpstr>Cofidis_Solutions_Credits</vt:lpstr>
      <vt:lpstr>Etixx_Quick_Step</vt:lpstr>
      <vt:lpstr>FDJ</vt:lpstr>
      <vt:lpstr>Giant___Alpecin</vt:lpstr>
      <vt:lpstr>IAM_Cycling</vt:lpstr>
      <vt:lpstr>klu</vt:lpstr>
      <vt:lpstr>Lampre_Merida</vt:lpstr>
      <vt:lpstr>Lotto_Soudal</vt:lpstr>
      <vt:lpstr>LottoNL_Jumbo</vt:lpstr>
      <vt:lpstr>Movistar_Team</vt:lpstr>
      <vt:lpstr>MTN_Qhubeka</vt:lpstr>
      <vt:lpstr>Orica_GreenEDGE</vt:lpstr>
      <vt:lpstr>riders!Renner</vt:lpstr>
      <vt:lpstr>Rider</vt:lpstr>
      <vt:lpstr>SKY</vt:lpstr>
      <vt:lpstr>Team_Europcar</vt:lpstr>
      <vt:lpstr>Team_Katusha</vt:lpstr>
      <vt:lpstr>Team_Sky</vt:lpstr>
      <vt:lpstr>Tinkoff_Saxo</vt:lpstr>
      <vt:lpstr>Trek_Factory_Racing</vt:lpstr>
    </vt:vector>
  </TitlesOfParts>
  <Company>UWV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Poels</dc:creator>
  <cp:lastModifiedBy>Daniel de Bondt</cp:lastModifiedBy>
  <dcterms:created xsi:type="dcterms:W3CDTF">2009-07-01T07:30:23Z</dcterms:created>
  <dcterms:modified xsi:type="dcterms:W3CDTF">2025-11-20T16:06:36Z</dcterms:modified>
</cp:coreProperties>
</file>