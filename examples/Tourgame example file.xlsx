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PycharmProjects\tourpool-pcs-scraper\examples\"/>
    </mc:Choice>
  </mc:AlternateContent>
  <xr:revisionPtr revIDLastSave="0" documentId="13_ncr:1_{DDC69570-BFC8-4AB6-9928-80E18231B11F}" xr6:coauthVersionLast="47" xr6:coauthVersionMax="47" xr10:uidLastSave="{00000000-0000-0000-0000-000000000000}"/>
  <bookViews>
    <workbookView xWindow="19720" yWindow="-250" windowWidth="19200" windowHeight="11250" tabRatio="870" activeTab="2" xr2:uid="{00000000-000D-0000-FFFF-FFFF00000000}"/>
  </bookViews>
  <sheets>
    <sheet name="rules" sheetId="120" r:id="rId1"/>
    <sheet name="riders" sheetId="118" r:id="rId2"/>
    <sheet name="point distribution" sheetId="1" r:id="rId3"/>
    <sheet name="participants" sheetId="6" r:id="rId4"/>
    <sheet name="standings" sheetId="232" r:id="rId5"/>
    <sheet name="Player B" sheetId="362" r:id="rId6"/>
    <sheet name="Player A" sheetId="361" r:id="rId7"/>
  </sheets>
  <externalReferences>
    <externalReference r:id="rId8"/>
  </externalReferences>
  <definedNames>
    <definedName name="AG2R_LA_Mondiale">[1]Renners!$E$1:$E$14</definedName>
    <definedName name="Astana_Pro_Team">[1]Renners!$F$1:$F$14</definedName>
    <definedName name="BMC_Racing_Team">[1]Renners!$G$1:$G$14</definedName>
    <definedName name="Bora_argon_18">[1]Renners!$R$1:$R$14</definedName>
    <definedName name="Bretagne_Seche_Environnement">[1]Renners!$S$1:$S$14</definedName>
    <definedName name="Cannondale_Garmin">[1]Renners!$H$1:$H$14</definedName>
    <definedName name="Cofidis_Solutions_Credits">[1]Renners!$T$1:$T$14</definedName>
    <definedName name="Etixx_Quick_Step">[1]Renners!$B$1:$B$14</definedName>
    <definedName name="FDJ">[1]Renners!$I$1:$I$14</definedName>
    <definedName name="Giant___Alpecin">[1]Renners!$D$1:$D$14</definedName>
    <definedName name="IAM_Cycling">[1]Renners!$J$1:$J$14</definedName>
    <definedName name="Lampre_Merida">[1]Renners!$K$1:$K$14</definedName>
    <definedName name="Lotto_Soudal">[1]Renners!$C$1:$C$14</definedName>
    <definedName name="LottoNL_Jumbo">[1]Renners!$A$1:$A$14</definedName>
    <definedName name="Movistar_Team">[1]Renners!$L$1:$L$14</definedName>
    <definedName name="MTN_Qhubeka">[1]Renners!$U$1:$U$14</definedName>
    <definedName name="Orica_GreenEDGE">[1]Renners!$M$1:$M$14</definedName>
    <definedName name="ploeg238" localSheetId="1">riders!#REF!</definedName>
    <definedName name="ploeg239" localSheetId="1">riders!#REF!</definedName>
    <definedName name="ploeg240" localSheetId="1">riders!#REF!</definedName>
    <definedName name="ploeg241" localSheetId="1">riders!#REF!</definedName>
    <definedName name="ploeg242" localSheetId="1">riders!#REF!</definedName>
    <definedName name="ploeg243" localSheetId="1">riders!#REF!</definedName>
    <definedName name="ploeg244" localSheetId="1">riders!#REF!</definedName>
    <definedName name="ploeg245" localSheetId="1">riders!#REF!</definedName>
    <definedName name="ploeg246" localSheetId="1">riders!#REF!</definedName>
    <definedName name="ploeg247" localSheetId="1">riders!#REF!</definedName>
    <definedName name="ploeg248" localSheetId="1">riders!#REF!</definedName>
    <definedName name="ploeg249" localSheetId="1">riders!#REF!</definedName>
    <definedName name="ploeg250" localSheetId="1">riders!#REF!</definedName>
    <definedName name="ploeg251" localSheetId="1">riders!#REF!</definedName>
    <definedName name="ploeg252" localSheetId="1">riders!#REF!</definedName>
    <definedName name="ploeg253" localSheetId="1">riders!#REF!</definedName>
    <definedName name="ploeg254" localSheetId="1">riders!#REF!</definedName>
    <definedName name="ploeg255" localSheetId="1">riders!#REF!</definedName>
    <definedName name="ploeg256" localSheetId="1">riders!#REF!</definedName>
    <definedName name="ploeg257" localSheetId="1">riders!#REF!</definedName>
    <definedName name="ploeg258" localSheetId="1">riders!#REF!</definedName>
    <definedName name="Team_Europcar">[1]Renners!$V$1:$V$14</definedName>
    <definedName name="Team_Katusha">[1]Renners!$N$1:$N$14</definedName>
    <definedName name="Team_Sky">[1]Renners!$O$1:$O$14</definedName>
    <definedName name="Tinkoff_Saxo">[1]Renners!$P$1:$P$14</definedName>
    <definedName name="Trek_Factory_Racing">[1]Renners!$Q$1:$Q$14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362" l="1"/>
  <c r="D26" i="362"/>
  <c r="D25" i="362"/>
  <c r="D24" i="362"/>
  <c r="D23" i="362"/>
  <c r="D22" i="362"/>
  <c r="D21" i="362"/>
  <c r="D20" i="362"/>
  <c r="D19" i="362"/>
  <c r="D18" i="362"/>
  <c r="D17" i="362"/>
  <c r="D16" i="362"/>
  <c r="D15" i="362"/>
  <c r="D14" i="362"/>
  <c r="D13" i="362"/>
  <c r="D12" i="362"/>
  <c r="D11" i="362"/>
  <c r="D10" i="362"/>
  <c r="D9" i="362"/>
  <c r="D8" i="362"/>
  <c r="D7" i="362"/>
  <c r="D6" i="362"/>
  <c r="D5" i="362"/>
  <c r="D4" i="362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B198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D5" i="361"/>
  <c r="D6" i="361"/>
  <c r="D7" i="361"/>
  <c r="D8" i="361"/>
  <c r="D9" i="361"/>
  <c r="D10" i="361"/>
  <c r="D11" i="361"/>
  <c r="D12" i="361"/>
  <c r="D13" i="361"/>
  <c r="D14" i="361"/>
  <c r="D15" i="361"/>
  <c r="D16" i="361"/>
  <c r="D17" i="361"/>
  <c r="D18" i="361"/>
  <c r="D19" i="361"/>
  <c r="D20" i="361"/>
  <c r="D21" i="361"/>
  <c r="D22" i="361"/>
  <c r="D23" i="361"/>
  <c r="D24" i="361"/>
  <c r="D25" i="361"/>
  <c r="D26" i="361"/>
  <c r="D4" i="361"/>
  <c r="B3" i="6"/>
  <c r="X172" i="1"/>
  <c r="X68" i="1"/>
  <c r="X84" i="1"/>
  <c r="X171" i="1"/>
  <c r="X51" i="1"/>
  <c r="X170" i="1"/>
  <c r="X169" i="1"/>
  <c r="X168" i="1"/>
  <c r="X95" i="1"/>
  <c r="X8" i="1"/>
  <c r="X105" i="1"/>
  <c r="X132" i="1"/>
  <c r="X98" i="1"/>
  <c r="X43" i="1"/>
  <c r="X27" i="1"/>
  <c r="X129" i="1"/>
  <c r="X96" i="1"/>
  <c r="X38" i="1"/>
  <c r="X28" i="1"/>
  <c r="X11" i="1"/>
  <c r="X112" i="1"/>
  <c r="X127" i="1"/>
  <c r="X70" i="1"/>
  <c r="X19" i="1"/>
  <c r="X144" i="1"/>
  <c r="X10" i="1"/>
  <c r="X133" i="1"/>
  <c r="X113" i="1"/>
  <c r="X77" i="1"/>
  <c r="X106" i="1"/>
  <c r="X94" i="1"/>
  <c r="X81" i="1"/>
  <c r="X20" i="1"/>
  <c r="X3" i="1"/>
  <c r="X149" i="1"/>
  <c r="X145" i="1"/>
  <c r="X32" i="1"/>
  <c r="X163" i="1"/>
  <c r="X100" i="1"/>
  <c r="X52" i="1"/>
  <c r="X148" i="1"/>
  <c r="X35" i="1"/>
  <c r="X18" i="1"/>
  <c r="X14" i="1"/>
  <c r="X175" i="1"/>
  <c r="X147" i="1"/>
  <c r="X15" i="1"/>
  <c r="X75" i="1"/>
  <c r="X61" i="1"/>
  <c r="X87" i="1"/>
  <c r="X89" i="1"/>
  <c r="X135" i="1"/>
  <c r="X122" i="1"/>
  <c r="X140" i="1"/>
  <c r="X130" i="1"/>
  <c r="X22" i="1"/>
  <c r="X92" i="1"/>
  <c r="X39" i="1"/>
  <c r="X131" i="1"/>
  <c r="X126" i="1"/>
  <c r="X53" i="1"/>
  <c r="X159" i="1"/>
  <c r="X119" i="1"/>
  <c r="X142" i="1"/>
  <c r="X138" i="1"/>
  <c r="X74" i="1"/>
  <c r="X71" i="1"/>
  <c r="X57" i="1"/>
  <c r="X91" i="1"/>
  <c r="X150" i="1"/>
  <c r="X128" i="1"/>
  <c r="X108" i="1"/>
  <c r="X134" i="1"/>
  <c r="X73" i="1"/>
  <c r="X55" i="1"/>
  <c r="X141" i="1"/>
  <c r="X4" i="1"/>
  <c r="X103" i="1"/>
  <c r="X118" i="1"/>
  <c r="X48" i="1"/>
  <c r="X72" i="1"/>
  <c r="X58" i="1"/>
  <c r="X83" i="1"/>
  <c r="X6" i="1"/>
  <c r="X109" i="1"/>
  <c r="X115" i="1"/>
  <c r="X90" i="1"/>
  <c r="X139" i="1"/>
  <c r="X117" i="1"/>
  <c r="X54" i="1"/>
  <c r="X56" i="1"/>
  <c r="X158" i="1"/>
  <c r="X80" i="1"/>
  <c r="X143" i="1"/>
  <c r="X162" i="1"/>
  <c r="X111" i="1"/>
  <c r="X41" i="1"/>
  <c r="X50" i="1"/>
  <c r="X2" i="1"/>
  <c r="X174" i="1"/>
  <c r="X25" i="1"/>
  <c r="X60" i="1"/>
  <c r="X110" i="1"/>
  <c r="X85" i="1"/>
  <c r="X107" i="1"/>
  <c r="X59" i="1"/>
  <c r="X24" i="1"/>
  <c r="X157" i="1"/>
  <c r="X37" i="1"/>
  <c r="X82" i="1"/>
  <c r="X88" i="1"/>
  <c r="X151" i="1"/>
  <c r="X161" i="1"/>
  <c r="X34" i="1"/>
  <c r="X152" i="1"/>
  <c r="X67" i="1"/>
  <c r="X120" i="1"/>
  <c r="X21" i="1"/>
  <c r="X62" i="1"/>
  <c r="X116" i="1"/>
  <c r="X36" i="1"/>
  <c r="X114" i="1"/>
  <c r="X30" i="1"/>
  <c r="X155" i="1"/>
  <c r="X173" i="1"/>
  <c r="X9" i="1"/>
  <c r="X124" i="1"/>
  <c r="X7" i="1"/>
  <c r="X97" i="1"/>
  <c r="X104" i="1"/>
  <c r="X125" i="1"/>
  <c r="X136" i="1"/>
  <c r="X29" i="1"/>
  <c r="X156" i="1"/>
  <c r="X137" i="1"/>
  <c r="X123" i="1"/>
  <c r="X69" i="1"/>
  <c r="X165" i="1"/>
  <c r="X164" i="1"/>
  <c r="X76" i="1"/>
  <c r="X33" i="1"/>
  <c r="X64" i="1"/>
  <c r="X160" i="1"/>
  <c r="X146" i="1"/>
  <c r="X17" i="1"/>
  <c r="X79" i="1"/>
  <c r="X86" i="1"/>
  <c r="X45" i="1"/>
  <c r="X26" i="1"/>
  <c r="X5" i="1"/>
  <c r="X49" i="1"/>
  <c r="X23" i="1"/>
  <c r="X40" i="1"/>
  <c r="X121" i="1"/>
  <c r="X154" i="1"/>
  <c r="X99" i="1"/>
  <c r="X42" i="1"/>
  <c r="X16" i="1"/>
  <c r="X66" i="1"/>
  <c r="X46" i="1"/>
  <c r="X167" i="1"/>
  <c r="X102" i="1"/>
  <c r="X65" i="1"/>
  <c r="X47" i="1"/>
  <c r="X166" i="1"/>
  <c r="X44" i="1"/>
  <c r="X12" i="1"/>
  <c r="X63" i="1"/>
  <c r="X153" i="1"/>
  <c r="X101" i="1"/>
  <c r="X176" i="1"/>
  <c r="X177" i="1"/>
  <c r="X78" i="1"/>
  <c r="X31" i="1"/>
  <c r="X13" i="1"/>
  <c r="X93" i="1"/>
  <c r="D34" i="361" l="1"/>
  <c r="B2" i="6" s="1"/>
</calcChain>
</file>

<file path=xl/sharedStrings.xml><?xml version="1.0" encoding="utf-8"?>
<sst xmlns="http://schemas.openxmlformats.org/spreadsheetml/2006/main" count="647" uniqueCount="284">
  <si>
    <t>Naam renner</t>
  </si>
  <si>
    <t>Cofidis</t>
  </si>
  <si>
    <t>INEOS Grenadiers</t>
  </si>
  <si>
    <t>Marc Hirschi</t>
  </si>
  <si>
    <t>Rules:</t>
  </si>
  <si>
    <t>Choose 1 rider from each squad and score the most points through the below scorecards!</t>
  </si>
  <si>
    <t>That makes 23 total riders to fill in for the 'form' sheet (don't forger reserve riders)</t>
  </si>
  <si>
    <t>Also fill in your best Dutchies for bonus points</t>
  </si>
  <si>
    <t>In the sheet 'Riders' you can find an overview of all teams and (provisional) riders, as of yet announced.</t>
  </si>
  <si>
    <t>It is unclear if these riders will subsequently start</t>
  </si>
  <si>
    <t>Therefore there is an option to submit reserve riders, that will take the first selected rider's place if he does not start in the first stage.</t>
  </si>
  <si>
    <t>If the reserve rider also does not start you are out of luck</t>
  </si>
  <si>
    <t>Points to be gained:</t>
  </si>
  <si>
    <t>per stage:</t>
  </si>
  <si>
    <t>After each stage (except final stage):</t>
  </si>
  <si>
    <t>Final rankings in Paris:</t>
  </si>
  <si>
    <t>placement</t>
  </si>
  <si>
    <t>points</t>
  </si>
  <si>
    <t>yellow</t>
  </si>
  <si>
    <t>green</t>
  </si>
  <si>
    <t>KOM</t>
  </si>
  <si>
    <t>yellow jersey after stage</t>
  </si>
  <si>
    <t>green jersey after stage</t>
  </si>
  <si>
    <t>KOM jersey after stage</t>
  </si>
  <si>
    <t>The one on top of the classifications counts here</t>
  </si>
  <si>
    <t>Not the one actually wearing the jersey</t>
  </si>
  <si>
    <t>Best Dutchie in final classifications:</t>
  </si>
  <si>
    <t>Yellow</t>
  </si>
  <si>
    <t>Green</t>
  </si>
  <si>
    <t>White</t>
  </si>
  <si>
    <t>For the unlikely case of 2 teams ending up tied, please answer the tie breaker question</t>
  </si>
  <si>
    <t>What is the time gap of the last rider in the general classification after the last stage?</t>
  </si>
  <si>
    <t>ROGLIČ Primož</t>
  </si>
  <si>
    <t>POGAČAR Tadej</t>
  </si>
  <si>
    <t>TRENTIN Matteo</t>
  </si>
  <si>
    <t>VINGEGAARD Jonas</t>
  </si>
  <si>
    <t>name:</t>
  </si>
  <si>
    <t>Rider</t>
  </si>
  <si>
    <t>Team</t>
  </si>
  <si>
    <t>Points</t>
  </si>
  <si>
    <t>Reserve-rider</t>
  </si>
  <si>
    <t>Total</t>
  </si>
  <si>
    <t>Gap last placed rider:</t>
  </si>
  <si>
    <t>hours</t>
  </si>
  <si>
    <t>minutes</t>
  </si>
  <si>
    <t>seconds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</si>
  <si>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</si>
  <si>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</si>
  <si>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</si>
  <si>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</si>
  <si>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</si>
  <si>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</si>
  <si>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</si>
  <si>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</si>
  <si>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</si>
  <si>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</si>
  <si>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11nt</t>
  </si>
  <si>
    <t>12th</t>
  </si>
  <si>
    <t>13th</t>
  </si>
  <si>
    <t>14th</t>
  </si>
  <si>
    <t>15th</t>
  </si>
  <si>
    <t>UAE Team Emirates - XRG</t>
  </si>
  <si>
    <t>Team Visma | Lease a Bike</t>
  </si>
  <si>
    <t>Soudal Quick-Step</t>
  </si>
  <si>
    <t>EF Education - EasyPost</t>
  </si>
  <si>
    <t>Intermarché - Wanty</t>
  </si>
  <si>
    <t>Bahrain - Victorious</t>
  </si>
  <si>
    <t>Red Bull - BORA - hansgrohe</t>
  </si>
  <si>
    <t>Lidl - Trek</t>
  </si>
  <si>
    <t>Groupama - FDJ</t>
  </si>
  <si>
    <t>Alpecin - Deceuninck</t>
  </si>
  <si>
    <t xml:space="preserve">Tudor Pro Cycling Team </t>
  </si>
  <si>
    <t>Team Jayco AlUla</t>
  </si>
  <si>
    <t>Arkéa - B&amp;B Hotels</t>
  </si>
  <si>
    <t>Movistar Team</t>
  </si>
  <si>
    <t>Decathlon AG2R La Mondiale Team</t>
  </si>
  <si>
    <t>XDS Astana Team</t>
  </si>
  <si>
    <t xml:space="preserve">Team TotalEnergies </t>
  </si>
  <si>
    <t>Team Picnic PostNL</t>
  </si>
  <si>
    <t xml:space="preserve">Israel - Premier Tech </t>
  </si>
  <si>
    <t xml:space="preserve">Lotto </t>
  </si>
  <si>
    <t xml:space="preserve">Uno-X Mobility </t>
  </si>
  <si>
    <t>EVENEPOEL Remco</t>
  </si>
  <si>
    <t>HEALY Ben</t>
  </si>
  <si>
    <t>GIRMAY Biniam</t>
  </si>
  <si>
    <t>BUITRAGO Santiago</t>
  </si>
  <si>
    <t>THOMAS Geraint</t>
  </si>
  <si>
    <t>MILAN Jonathan</t>
  </si>
  <si>
    <t>MARTIN Guillaume</t>
  </si>
  <si>
    <t>PHILIPSEN Jasper</t>
  </si>
  <si>
    <t>ALAPHILIPPE Julian</t>
  </si>
  <si>
    <t>O'CONNOR Ben</t>
  </si>
  <si>
    <t>VAUQUELIN Kévin</t>
  </si>
  <si>
    <t>MAS Enric</t>
  </si>
  <si>
    <t>GALL Felix</t>
  </si>
  <si>
    <t>BUCHMANN Emanuel</t>
  </si>
  <si>
    <t>TEJADA Harold</t>
  </si>
  <si>
    <t>CRAS Steff</t>
  </si>
  <si>
    <t>ONLEY Oscar</t>
  </si>
  <si>
    <t>WOODS Michael</t>
  </si>
  <si>
    <t>DE LIE Arnaud</t>
  </si>
  <si>
    <t>JOHANNESSEN Tobias Halland</t>
  </si>
  <si>
    <t>ALMEIDA João</t>
  </si>
  <si>
    <t>AFFINI Edoardo</t>
  </si>
  <si>
    <t>CATTANEO Mattia</t>
  </si>
  <si>
    <t>ALBANESE Vincenzo</t>
  </si>
  <si>
    <t>BARRÉ Louis</t>
  </si>
  <si>
    <t>BAUHAUS Phil</t>
  </si>
  <si>
    <t>ARENSMAN Thymen</t>
  </si>
  <si>
    <t>LIPOWITZ Florian</t>
  </si>
  <si>
    <t>CONSONNI Simone</t>
  </si>
  <si>
    <t>ASKEY Lewis</t>
  </si>
  <si>
    <t>DILLIER Silvan</t>
  </si>
  <si>
    <t>DAINESE Alberto</t>
  </si>
  <si>
    <t>DUNBAR Eddie</t>
  </si>
  <si>
    <t>CAPIOT Amaury</t>
  </si>
  <si>
    <t>BARTA Will</t>
  </si>
  <si>
    <t>ARMIRAIL Bruno</t>
  </si>
  <si>
    <t>ARANBURU Alex</t>
  </si>
  <si>
    <t>BALLERINI Davide</t>
  </si>
  <si>
    <t>BURGAUDEAU Mathieu</t>
  </si>
  <si>
    <t>BARGUIL Warren</t>
  </si>
  <si>
    <t>ACKERMANN Pascal</t>
  </si>
  <si>
    <t>BERCKMOES Jenno</t>
  </si>
  <si>
    <t>ABRAHAMSEN Jonas</t>
  </si>
  <si>
    <t>NARVÁEZ Jhonatan</t>
  </si>
  <si>
    <t>BENOOT Tiesj</t>
  </si>
  <si>
    <t>EENKHOORN Pascal</t>
  </si>
  <si>
    <t>ASGREEN Kasper</t>
  </si>
  <si>
    <t>BRAET Vito</t>
  </si>
  <si>
    <t>GRADEK Kamil</t>
  </si>
  <si>
    <t>FOSS Tobias</t>
  </si>
  <si>
    <t>MEEUS Jordi</t>
  </si>
  <si>
    <t>NYS Thibau</t>
  </si>
  <si>
    <t>BARTHE Cyril</t>
  </si>
  <si>
    <t>GROVES Kaden</t>
  </si>
  <si>
    <t>HALLER Marco</t>
  </si>
  <si>
    <t>DURBRIDGE Luke</t>
  </si>
  <si>
    <t>COSTIOU Ewen</t>
  </si>
  <si>
    <t>CASTRILLO Pablo</t>
  </si>
  <si>
    <t>BERTHET Clément</t>
  </si>
  <si>
    <t>COQUARD Bryan</t>
  </si>
  <si>
    <t>BOL Cees</t>
  </si>
  <si>
    <t>DELETTRE Alexandre</t>
  </si>
  <si>
    <t>BITTNER Pavel</t>
  </si>
  <si>
    <t>BLACKMORE Joseph</t>
  </si>
  <si>
    <t>DE BUYST Jasper</t>
  </si>
  <si>
    <t>CORT Magnus</t>
  </si>
  <si>
    <t>POLITT Nils</t>
  </si>
  <si>
    <t>CAMPENAERTS Victor</t>
  </si>
  <si>
    <t>MERLIER Tim</t>
  </si>
  <si>
    <t>BAUDIN Alex</t>
  </si>
  <si>
    <t>PAGE Hugo</t>
  </si>
  <si>
    <t>HAIG Jack</t>
  </si>
  <si>
    <t>GANNA Filippo</t>
  </si>
  <si>
    <t>MOSCON Gianni</t>
  </si>
  <si>
    <t>SIMMONS Quinn</t>
  </si>
  <si>
    <t>GRÉGOIRE Romain</t>
  </si>
  <si>
    <t>MEURISSE Xandro</t>
  </si>
  <si>
    <t>HIRSCHI Marc</t>
  </si>
  <si>
    <t>GROENEWEGEN Dylan</t>
  </si>
  <si>
    <t>DÉMARE Arnaud</t>
  </si>
  <si>
    <t>OLIVEIRA Nelson</t>
  </si>
  <si>
    <t>BISSEGGER Stefan</t>
  </si>
  <si>
    <t>IZAGIRRE Ion</t>
  </si>
  <si>
    <t>CHAMPOUSSIN Clément</t>
  </si>
  <si>
    <t>GACHIGNARD Thomas</t>
  </si>
  <si>
    <t>FLYNN Sean</t>
  </si>
  <si>
    <t>BOIVIN Guillaume</t>
  </si>
  <si>
    <t>DRIZNERS Jarrad</t>
  </si>
  <si>
    <t>FREDHEIM Stian</t>
  </si>
  <si>
    <t>SIVAKOV Pavel</t>
  </si>
  <si>
    <t>JORGENSON Matteo</t>
  </si>
  <si>
    <t>PARET-PEINTRE Valentin</t>
  </si>
  <si>
    <t>POWLESS Neilson</t>
  </si>
  <si>
    <t>REX Laurenz</t>
  </si>
  <si>
    <t>MARTINEZ Lenny</t>
  </si>
  <si>
    <t>LAURANCE Axel</t>
  </si>
  <si>
    <t>PITHIE Laurence</t>
  </si>
  <si>
    <t>SKJELMOSE Mattias</t>
  </si>
  <si>
    <t>MADOUAS Valentin</t>
  </si>
  <si>
    <t>RICKAERT Jonas</t>
  </si>
  <si>
    <t>LIENHARD Fabian</t>
  </si>
  <si>
    <t>MEZGEC Luka</t>
  </si>
  <si>
    <t>GARCÍA PIERNA Raúl</t>
  </si>
  <si>
    <t>GARCÍA CORTINA Iván</t>
  </si>
  <si>
    <t>NAESEN Oliver</t>
  </si>
  <si>
    <t>RENARD Alexis</t>
  </si>
  <si>
    <t>FEDOROV Yevgeniy</t>
  </si>
  <si>
    <t>JEANNIÈRE Emilien</t>
  </si>
  <si>
    <t>ANDRESEN Tobias Lund</t>
  </si>
  <si>
    <t>LOUVEL Matis</t>
  </si>
  <si>
    <t>GRIGNARD Sébastien</t>
  </si>
  <si>
    <t>HOELGAARD Markus</t>
  </si>
  <si>
    <t>SOLER Marc</t>
  </si>
  <si>
    <t>KUSS Sepp</t>
  </si>
  <si>
    <t>SCHACHMANN Maximilian</t>
  </si>
  <si>
    <t>SWEENY Harry</t>
  </si>
  <si>
    <t>RUTSCH Jonas</t>
  </si>
  <si>
    <t>MOHORIČ Matej</t>
  </si>
  <si>
    <t>RODRÍGUEZ Carlos</t>
  </si>
  <si>
    <t>VAN DIJKE Mick</t>
  </si>
  <si>
    <t>SKUJIŅŠ Toms</t>
  </si>
  <si>
    <t>PACHER Quentin</t>
  </si>
  <si>
    <t>VAN DER POEL Mathieu</t>
  </si>
  <si>
    <t>MAYRHOFER Marius</t>
  </si>
  <si>
    <t>PLAPP Luke</t>
  </si>
  <si>
    <t>LE BERRE Mathis</t>
  </si>
  <si>
    <t>MÜHLBERGER Gregor</t>
  </si>
  <si>
    <t>PARET-PEINTRE Aurélien</t>
  </si>
  <si>
    <t>TEUNS Dylan</t>
  </si>
  <si>
    <t>HIGUITA Sergio</t>
  </si>
  <si>
    <t>JEGAT Jordan</t>
  </si>
  <si>
    <t>MÄRKL Niklas</t>
  </si>
  <si>
    <t>LUTSENKO Alexey</t>
  </si>
  <si>
    <t>SEPÚLVEDA Eduardo</t>
  </si>
  <si>
    <t>JOHANNESSEN Anders Halland</t>
  </si>
  <si>
    <t>WELLENS Tim</t>
  </si>
  <si>
    <t>VAN AERT Wout</t>
  </si>
  <si>
    <t>VAN LERBERGHE Bert</t>
  </si>
  <si>
    <t>VALGREN Michael</t>
  </si>
  <si>
    <t>VAN SINTMAARTENSDIJK Roel</t>
  </si>
  <si>
    <t>STANNARD Robert</t>
  </si>
  <si>
    <t>SWIFT Connor</t>
  </si>
  <si>
    <t>VAN POPPEL Danny</t>
  </si>
  <si>
    <t>STUYVEN Jasper</t>
  </si>
  <si>
    <t>PENHOËT Paul</t>
  </si>
  <si>
    <t>VERMEERSCH Gianni</t>
  </si>
  <si>
    <t>STORER Michael</t>
  </si>
  <si>
    <t>REINDERS Elmar</t>
  </si>
  <si>
    <t>RODRÍGUEZ Cristián</t>
  </si>
  <si>
    <t>ROMEO Iván</t>
  </si>
  <si>
    <t>SCOTSON Callum</t>
  </si>
  <si>
    <t>THOMAS Benjamin</t>
  </si>
  <si>
    <t>TEUNISSEN Mike</t>
  </si>
  <si>
    <t>TURGIS Anthony</t>
  </si>
  <si>
    <t>NABERMAN Tim</t>
  </si>
  <si>
    <t>NEILANDS Krists</t>
  </si>
  <si>
    <t>VAN EETVELT Lennert</t>
  </si>
  <si>
    <t>LEKNESSUND Andreas</t>
  </si>
  <si>
    <t>YATES Adam</t>
  </si>
  <si>
    <t>YATES Simon</t>
  </si>
  <si>
    <t>VAN WILDER Ilan</t>
  </si>
  <si>
    <t>VAN DEN BERG Marijn</t>
  </si>
  <si>
    <t>ZIMMERMANN Georg</t>
  </si>
  <si>
    <t>WRIGHT Fred</t>
  </si>
  <si>
    <t>WATSON Samuel</t>
  </si>
  <si>
    <t>VLASOV Aleksandr</t>
  </si>
  <si>
    <t>THEUNS Edward</t>
  </si>
  <si>
    <t>RUSSO Clément</t>
  </si>
  <si>
    <t>VERSTRYNGE Emiel</t>
  </si>
  <si>
    <t>SCHMID Mauro</t>
  </si>
  <si>
    <t>VENTURINI Clément</t>
  </si>
  <si>
    <t>RUBIO Einer</t>
  </si>
  <si>
    <t>TRONCHON Bastien</t>
  </si>
  <si>
    <t>TOUZÉ Damien</t>
  </si>
  <si>
    <t>VELASCO Simone</t>
  </si>
  <si>
    <t>VERCHER Mattéo</t>
  </si>
  <si>
    <t>VAN DEN BROEK Frank</t>
  </si>
  <si>
    <t>STEWART Jake</t>
  </si>
  <si>
    <t>VAN MOER Brent</t>
  </si>
  <si>
    <t>WÆRENSKJOLD Søren</t>
  </si>
  <si>
    <t>Player A</t>
  </si>
  <si>
    <t>Player B</t>
  </si>
  <si>
    <t>Want to keep track?</t>
  </si>
  <si>
    <t>Copy the point distribution from the python output</t>
  </si>
  <si>
    <t>Then refresh the pivot table here</t>
  </si>
  <si>
    <t>Jonas Vingegaard</t>
  </si>
  <si>
    <t>Mathieu van der Poel</t>
  </si>
  <si>
    <t>Remco Evenepoel</t>
  </si>
  <si>
    <t>Tadej Pogačar</t>
  </si>
  <si>
    <t>Wout van Aert</t>
  </si>
  <si>
    <t>Mads Pedersen</t>
  </si>
  <si>
    <t>Primož Roglič</t>
  </si>
  <si>
    <t>Demi Vollering</t>
  </si>
  <si>
    <t>Lotte Kopecky</t>
  </si>
  <si>
    <t>Katarzyna Niewiadoma</t>
  </si>
  <si>
    <t>Évita Muzic</t>
  </si>
  <si>
    <t>final classifications</t>
  </si>
  <si>
    <t>Rank</t>
  </si>
  <si>
    <t>name</t>
  </si>
  <si>
    <t>total points</t>
  </si>
  <si>
    <t>Sum of total points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</si>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</sst>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€&quot;\ * #,##0.00_-;_-&quot;€&quot;\ * #,##0.00\-;_-&quot;€&quot;\ * &quot;-&quot;??_-;_-@_-"/>
    <numFmt numFmtId="165" formatCode="_-&quot;fl&quot;\ * #,##0.00_-;_-&quot;fl&quot;\ * #,##0.00\-;_-&quot;fl&quot;\ * &quot;-&quot;??_-;_-@_-"/>
    <numFmt numFmtId="166" formatCode="_-[$€-2]\ * #,##0.00_-;_-[$€-2]\ * #,##0.00\-;_-[$€-2]\ * &quot;-&quot;??_-;_-@_-"/>
    <numFmt numFmtId="167" formatCode="_ [$€-2]\ * #,##0.00_ ;_ [$€-2]\ * \-#,##0.00_ ;_ [$€-2]\ * &quot;-&quot;??_ ;_ @_ "/>
    <numFmt numFmtId="168" formatCode="_-&quot;€ &quot;* #,##0.00_-;_-&quot;€ &quot;* #,##0.00\-;_-&quot;€ &quot;* \-??_-;_-@_-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Verdana"/>
      <family val="2"/>
    </font>
    <font>
      <b/>
      <sz val="9"/>
      <name val="Arial"/>
      <family val="2"/>
    </font>
    <font>
      <sz val="8"/>
      <name val="Verdana"/>
      <family val="2"/>
    </font>
    <font>
      <sz val="12"/>
      <name val="Arial"/>
      <family val="2"/>
    </font>
    <font>
      <u/>
      <sz val="16"/>
      <name val="Arial"/>
      <family val="2"/>
    </font>
    <font>
      <u/>
      <sz val="9"/>
      <color indexed="12"/>
      <name val="Verdana"/>
      <family val="2"/>
    </font>
    <font>
      <sz val="9"/>
      <name val="Verdana"/>
      <family val="2"/>
    </font>
    <font>
      <sz val="9"/>
      <color indexed="8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u/>
      <sz val="9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8" fillId="0" borderId="0"/>
    <xf numFmtId="0" fontId="15" fillId="0" borderId="0"/>
    <xf numFmtId="0" fontId="14" fillId="0" borderId="0"/>
    <xf numFmtId="0" fontId="17" fillId="0" borderId="0"/>
    <xf numFmtId="0" fontId="1" fillId="0" borderId="0"/>
    <xf numFmtId="0" fontId="8" fillId="0" borderId="0"/>
    <xf numFmtId="0" fontId="1" fillId="0" borderId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8" fontId="8" fillId="0" borderId="0" applyFill="0" applyBorder="0" applyAlignment="0" applyProtection="0"/>
    <xf numFmtId="164" fontId="17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1" fillId="0" borderId="0"/>
    <xf numFmtId="0" fontId="8" fillId="0" borderId="0"/>
    <xf numFmtId="164" fontId="8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 applyProtection="1">
      <protection locked="0"/>
    </xf>
    <xf numFmtId="0" fontId="0" fillId="4" borderId="0" xfId="0" applyFill="1" applyAlignment="1">
      <alignment horizontal="center"/>
    </xf>
    <xf numFmtId="0" fontId="1" fillId="0" borderId="0" xfId="10"/>
    <xf numFmtId="0" fontId="1" fillId="0" borderId="0" xfId="12"/>
    <xf numFmtId="0" fontId="7" fillId="0" borderId="0" xfId="0" applyFont="1"/>
    <xf numFmtId="0" fontId="6" fillId="0" borderId="0" xfId="0" applyFont="1"/>
    <xf numFmtId="0" fontId="4" fillId="0" borderId="0" xfId="0" applyFont="1"/>
    <xf numFmtId="1" fontId="6" fillId="0" borderId="0" xfId="0" applyNumberFormat="1" applyFont="1"/>
    <xf numFmtId="1" fontId="4" fillId="0" borderId="0" xfId="0" applyNumberFormat="1" applyFont="1"/>
    <xf numFmtId="1" fontId="7" fillId="0" borderId="0" xfId="0" applyNumberFormat="1" applyFont="1"/>
    <xf numFmtId="0" fontId="11" fillId="0" borderId="1" xfId="10" applyFont="1" applyBorder="1"/>
    <xf numFmtId="0" fontId="1" fillId="3" borderId="1" xfId="10" applyFill="1" applyBorder="1"/>
    <xf numFmtId="0" fontId="1" fillId="0" borderId="1" xfId="10" applyBorder="1"/>
    <xf numFmtId="0" fontId="1" fillId="0" borderId="9" xfId="10" applyBorder="1"/>
    <xf numFmtId="0" fontId="5" fillId="0" borderId="0" xfId="10" applyFont="1"/>
    <xf numFmtId="0" fontId="5" fillId="0" borderId="23" xfId="10" applyFont="1" applyBorder="1"/>
    <xf numFmtId="0" fontId="5" fillId="0" borderId="1" xfId="10" applyFont="1" applyBorder="1"/>
    <xf numFmtId="0" fontId="2" fillId="0" borderId="1" xfId="0" applyFont="1" applyBorder="1" applyAlignment="1">
      <alignment horizontal="right"/>
    </xf>
    <xf numFmtId="0" fontId="3" fillId="0" borderId="0" xfId="1" applyAlignment="1" applyProtection="1"/>
    <xf numFmtId="49" fontId="2" fillId="0" borderId="1" xfId="0" applyNumberFormat="1" applyFont="1" applyBorder="1"/>
    <xf numFmtId="49" fontId="5" fillId="0" borderId="0" xfId="0" applyNumberFormat="1" applyFont="1"/>
    <xf numFmtId="49" fontId="0" fillId="0" borderId="0" xfId="0" applyNumberFormat="1"/>
    <xf numFmtId="0" fontId="3" fillId="0" borderId="0" xfId="1" applyAlignment="1" applyProtection="1">
      <alignment vertical="center"/>
    </xf>
    <xf numFmtId="0" fontId="5" fillId="0" borderId="0" xfId="0" applyFont="1"/>
    <xf numFmtId="0" fontId="1" fillId="7" borderId="1" xfId="10" applyFill="1" applyBorder="1"/>
    <xf numFmtId="0" fontId="1" fillId="0" borderId="25" xfId="10" applyBorder="1"/>
    <xf numFmtId="21" fontId="0" fillId="0" borderId="0" xfId="0" applyNumberFormat="1"/>
    <xf numFmtId="0" fontId="12" fillId="0" borderId="0" xfId="12" applyFont="1"/>
    <xf numFmtId="0" fontId="8" fillId="0" borderId="0" xfId="11"/>
    <xf numFmtId="0" fontId="5" fillId="7" borderId="1" xfId="10" applyFont="1" applyFill="1" applyBorder="1"/>
    <xf numFmtId="0" fontId="2" fillId="3" borderId="1" xfId="10" applyFont="1" applyFill="1" applyBorder="1"/>
    <xf numFmtId="0" fontId="0" fillId="7" borderId="1" xfId="0" applyFill="1" applyBorder="1" applyProtection="1">
      <protection locked="0"/>
    </xf>
    <xf numFmtId="0" fontId="8" fillId="0" borderId="1" xfId="11" applyBorder="1"/>
    <xf numFmtId="0" fontId="16" fillId="5" borderId="0" xfId="11" applyFont="1" applyFill="1"/>
    <xf numFmtId="0" fontId="1" fillId="3" borderId="0" xfId="12" applyFill="1"/>
    <xf numFmtId="0" fontId="1" fillId="3" borderId="2" xfId="12" applyFill="1" applyBorder="1"/>
    <xf numFmtId="0" fontId="1" fillId="3" borderId="5" xfId="12" applyFill="1" applyBorder="1"/>
    <xf numFmtId="0" fontId="1" fillId="3" borderId="6" xfId="12" applyFill="1" applyBorder="1"/>
    <xf numFmtId="0" fontId="1" fillId="3" borderId="7" xfId="12" applyFill="1" applyBorder="1"/>
    <xf numFmtId="0" fontId="1" fillId="3" borderId="8" xfId="12" applyFill="1" applyBorder="1"/>
    <xf numFmtId="0" fontId="1" fillId="3" borderId="3" xfId="12" applyFill="1" applyBorder="1"/>
    <xf numFmtId="0" fontId="1" fillId="3" borderId="1" xfId="12" applyFill="1" applyBorder="1"/>
    <xf numFmtId="0" fontId="1" fillId="3" borderId="9" xfId="12" applyFill="1" applyBorder="1"/>
    <xf numFmtId="0" fontId="1" fillId="3" borderId="10" xfId="12" applyFill="1" applyBorder="1"/>
    <xf numFmtId="0" fontId="1" fillId="3" borderId="11" xfId="12" applyFill="1" applyBorder="1"/>
    <xf numFmtId="0" fontId="1" fillId="3" borderId="12" xfId="12" applyFill="1" applyBorder="1"/>
    <xf numFmtId="0" fontId="1" fillId="3" borderId="13" xfId="12" applyFill="1" applyBorder="1"/>
    <xf numFmtId="0" fontId="1" fillId="3" borderId="14" xfId="12" applyFill="1" applyBorder="1"/>
    <xf numFmtId="0" fontId="1" fillId="3" borderId="15" xfId="12" applyFill="1" applyBorder="1"/>
    <xf numFmtId="0" fontId="1" fillId="3" borderId="16" xfId="12" applyFill="1" applyBorder="1"/>
    <xf numFmtId="0" fontId="1" fillId="3" borderId="17" xfId="12" applyFill="1" applyBorder="1"/>
    <xf numFmtId="0" fontId="1" fillId="3" borderId="18" xfId="12" applyFill="1" applyBorder="1"/>
    <xf numFmtId="0" fontId="1" fillId="3" borderId="19" xfId="12" applyFill="1" applyBorder="1"/>
    <xf numFmtId="0" fontId="1" fillId="3" borderId="20" xfId="12" applyFill="1" applyBorder="1"/>
    <xf numFmtId="0" fontId="1" fillId="3" borderId="21" xfId="12" applyFill="1" applyBorder="1"/>
    <xf numFmtId="0" fontId="1" fillId="3" borderId="4" xfId="12" applyFill="1" applyBorder="1"/>
    <xf numFmtId="0" fontId="1" fillId="3" borderId="22" xfId="12" applyFill="1" applyBorder="1"/>
    <xf numFmtId="167" fontId="1" fillId="0" borderId="0" xfId="13" applyNumberFormat="1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1" fillId="6" borderId="0" xfId="0" applyFont="1" applyFill="1"/>
    <xf numFmtId="49" fontId="5" fillId="7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8" borderId="1" xfId="0" applyFill="1" applyBorder="1"/>
    <xf numFmtId="49" fontId="1" fillId="0" borderId="1" xfId="0" applyNumberFormat="1" applyFont="1" applyBorder="1"/>
    <xf numFmtId="49" fontId="5" fillId="0" borderId="1" xfId="0" applyNumberFormat="1" applyFont="1" applyBorder="1"/>
    <xf numFmtId="0" fontId="0" fillId="2" borderId="24" xfId="0" applyFill="1" applyBorder="1"/>
    <xf numFmtId="0" fontId="9" fillId="0" borderId="1" xfId="11" applyFont="1" applyBorder="1"/>
    <xf numFmtId="166" fontId="1" fillId="0" borderId="0" xfId="12" applyNumberFormat="1"/>
    <xf numFmtId="9" fontId="1" fillId="0" borderId="0" xfId="12" applyNumberFormat="1"/>
    <xf numFmtId="167" fontId="1" fillId="0" borderId="0" xfId="13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1" xfId="10" applyFont="1" applyFill="1" applyBorder="1"/>
  </cellXfs>
  <cellStyles count="24">
    <cellStyle name="Currency" xfId="13" builtinId="4"/>
    <cellStyle name="Hyperlink" xfId="1" builtinId="8"/>
    <cellStyle name="Hyperlink 2" xfId="2" xr:uid="{00000000-0005-0000-0000-000001000000}"/>
    <cellStyle name="Hyperlink 2 2" xfId="3" xr:uid="{00000000-0005-0000-0000-000002000000}"/>
    <cellStyle name="Hyperlink 3" xfId="4" xr:uid="{00000000-0005-0000-0000-000003000000}"/>
    <cellStyle name="Normal" xfId="0" builtinId="0"/>
    <cellStyle name="Normal 2" xfId="20" xr:uid="{4398D42F-8DFA-4E17-ACF9-C3F42CC327BC}"/>
    <cellStyle name="Standaard 2" xfId="5" xr:uid="{00000000-0005-0000-0000-000005000000}"/>
    <cellStyle name="Standaard 2 2" xfId="6" xr:uid="{00000000-0005-0000-0000-000006000000}"/>
    <cellStyle name="Standaard 2 3" xfId="7" xr:uid="{00000000-0005-0000-0000-000007000000}"/>
    <cellStyle name="Standaard 3" xfId="8" xr:uid="{00000000-0005-0000-0000-000008000000}"/>
    <cellStyle name="Standaard 3 2" xfId="18" xr:uid="{1579BD65-8138-4169-9D86-D346753F90DF}"/>
    <cellStyle name="Standaard 4" xfId="9" xr:uid="{00000000-0005-0000-0000-000009000000}"/>
    <cellStyle name="Standaard 4 2" xfId="21" xr:uid="{879FE6B7-C95D-428F-9612-C2E2A3F23A44}"/>
    <cellStyle name="Standaard_formulier tourspel 2008_def" xfId="10" xr:uid="{00000000-0005-0000-0000-00000A000000}"/>
    <cellStyle name="Standaard_formulier_tourspel_2010_def" xfId="11" xr:uid="{00000000-0005-0000-0000-00000C000000}"/>
    <cellStyle name="Standaard_TOURSPEL 2009" xfId="12" xr:uid="{00000000-0005-0000-0000-00000D000000}"/>
    <cellStyle name="Valuta 2" xfId="14" xr:uid="{00000000-0005-0000-0000-00000F000000}"/>
    <cellStyle name="Valuta 2 2" xfId="19" xr:uid="{5FB141F2-8128-47C5-8EDE-51EF5F7C4714}"/>
    <cellStyle name="Valuta 3" xfId="15" xr:uid="{00000000-0005-0000-0000-000010000000}"/>
    <cellStyle name="Valuta 4" xfId="16" xr:uid="{00000000-0005-0000-0000-000011000000}"/>
    <cellStyle name="Valuta 4 2" xfId="22" xr:uid="{BE9E48B0-C72E-408D-8001-6018E268251A}"/>
    <cellStyle name="Valuta 5" xfId="17" xr:uid="{EE5FF39E-85CE-44F5-8E99-D87AC77EC213}"/>
    <cellStyle name="Valuta 5 2" xfId="23" xr:uid="{15CC29B9-7D1E-4053-93B3-6110DAF680A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352425</xdr:colOff>
      <xdr:row>48</xdr:row>
      <xdr:rowOff>161925</xdr:rowOff>
    </xdr:from>
    <xdr:to>
      <xdr:col>12</xdr:col>
      <xdr:colOff>358140</xdr:colOff>
      <xdr:row>49</xdr:row>
      <xdr:rowOff>0</xdr:rowOff>
    </xdr:to>
    <xdr:pic>
      <xdr:nvPicPr>
        <xdr:cNvPr id="2" name="Picture 9" descr="hi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7405" y="8241030"/>
          <a:ext cx="381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352425</xdr:colOff>
      <xdr:row>48</xdr:row>
      <xdr:rowOff>161925</xdr:rowOff>
    </xdr:from>
    <xdr:to>
      <xdr:col>12</xdr:col>
      <xdr:colOff>358140</xdr:colOff>
      <xdr:row>49</xdr:row>
      <xdr:rowOff>0</xdr:rowOff>
    </xdr:to>
    <xdr:pic>
      <xdr:nvPicPr>
        <xdr:cNvPr id="3" name="Picture 11" descr="hi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7405" y="8241030"/>
          <a:ext cx="381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352425</xdr:colOff>
      <xdr:row>49</xdr:row>
      <xdr:rowOff>161925</xdr:rowOff>
    </xdr:from>
    <xdr:to>
      <xdr:col>12</xdr:col>
      <xdr:colOff>361950</xdr:colOff>
      <xdr:row>50</xdr:row>
      <xdr:rowOff>0</xdr:rowOff>
    </xdr:to>
    <xdr:pic>
      <xdr:nvPicPr>
        <xdr:cNvPr id="4" name="Picture 9" descr="hi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9913" y="697395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352425</xdr:colOff>
      <xdr:row>49</xdr:row>
      <xdr:rowOff>161925</xdr:rowOff>
    </xdr:from>
    <xdr:to>
      <xdr:col>12</xdr:col>
      <xdr:colOff>361950</xdr:colOff>
      <xdr:row>50</xdr:row>
      <xdr:rowOff>0</xdr:rowOff>
    </xdr:to>
    <xdr:pic>
      <xdr:nvPicPr>
        <xdr:cNvPr id="5" name="Picture 11" descr="hi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9913" y="697395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352425</xdr:colOff>
      <xdr:row>48</xdr:row>
      <xdr:rowOff>161925</xdr:rowOff>
    </xdr:from>
    <xdr:to>
      <xdr:col>12</xdr:col>
      <xdr:colOff>361950</xdr:colOff>
      <xdr:row>49</xdr:row>
      <xdr:rowOff>0</xdr:rowOff>
    </xdr:to>
    <xdr:pic>
      <xdr:nvPicPr>
        <xdr:cNvPr id="2" name="Picture 9" descr="hi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9913" y="697395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352425</xdr:colOff>
      <xdr:row>48</xdr:row>
      <xdr:rowOff>161925</xdr:rowOff>
    </xdr:from>
    <xdr:to>
      <xdr:col>12</xdr:col>
      <xdr:colOff>361950</xdr:colOff>
      <xdr:row>49</xdr:row>
      <xdr:rowOff>0</xdr:rowOff>
    </xdr:to>
    <xdr:pic>
      <xdr:nvPicPr>
        <xdr:cNvPr id="3" name="Picture 11" descr="hi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9913" y="697395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Edwin\AppData\Local\Microsoft\Windows\INetCache\IE\UYMI9E2E\formulier_tourspel_2015_Edw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lregels"/>
      <sheetName val="formulier"/>
      <sheetName val="Renners"/>
    </sheetNames>
    <sheetDataSet>
      <sheetData sheetId="0" refreshError="1"/>
      <sheetData sheetId="1" refreshError="1"/>
      <sheetData sheetId="2">
        <row r="1">
          <cell r="A1" t="str">
            <v>LottoNL-Jumbo</v>
          </cell>
          <cell r="B1" t="str">
            <v>Etixx-Quick Step</v>
          </cell>
          <cell r="C1" t="str">
            <v>Lotto Soudal</v>
          </cell>
          <cell r="D1" t="str">
            <v>Giant - Alpecin</v>
          </cell>
          <cell r="E1" t="str">
            <v>AG2R LA Mondiale</v>
          </cell>
          <cell r="F1" t="str">
            <v>Astana Pro Team</v>
          </cell>
          <cell r="G1" t="str">
            <v>BMC Racing Team</v>
          </cell>
          <cell r="H1" t="str">
            <v>Cannondale-Garmin</v>
          </cell>
          <cell r="I1" t="str">
            <v>FDJ</v>
          </cell>
          <cell r="J1" t="str">
            <v>IAM Cycling</v>
          </cell>
          <cell r="K1" t="str">
            <v>Lampre-Merida</v>
          </cell>
          <cell r="L1" t="str">
            <v>Movistar Team</v>
          </cell>
          <cell r="M1" t="str">
            <v>Orica GreenEDGE</v>
          </cell>
          <cell r="N1" t="str">
            <v>Team Katusha</v>
          </cell>
          <cell r="O1" t="str">
            <v>Team Sky</v>
          </cell>
          <cell r="P1" t="str">
            <v>Tinkoff-Saxo</v>
          </cell>
          <cell r="Q1" t="str">
            <v>Trek Factory Racing</v>
          </cell>
          <cell r="R1" t="str">
            <v>Bora-argon 18</v>
          </cell>
          <cell r="S1" t="str">
            <v>Bretagne-Seche Environnement</v>
          </cell>
          <cell r="T1" t="str">
            <v>Cofidis-Solutions Credits</v>
          </cell>
          <cell r="U1" t="str">
            <v>MTN-Qhubeka</v>
          </cell>
          <cell r="V1" t="str">
            <v>Team Europcar</v>
          </cell>
        </row>
        <row r="2">
          <cell r="A2" t="str">
            <v>Wilco Kelderman</v>
          </cell>
          <cell r="B2" t="str">
            <v>Mark Cavendish</v>
          </cell>
          <cell r="C2" t="str">
            <v>Lars Bak</v>
          </cell>
          <cell r="D2" t="str">
            <v>Warren Barguil</v>
          </cell>
          <cell r="E2" t="str">
            <v>Ben Gastauer</v>
          </cell>
          <cell r="F2" t="str">
            <v>Vincenzo Nibali</v>
          </cell>
          <cell r="G2" t="str">
            <v>Damiano Caruso</v>
          </cell>
          <cell r="H2" t="str">
            <v>Daniel Martin</v>
          </cell>
          <cell r="I2" t="str">
            <v>Sébastien Chavanel</v>
          </cell>
          <cell r="J2" t="str">
            <v xml:space="preserve">Matthias Brändle </v>
          </cell>
          <cell r="K2" t="str">
            <v>Rui Costa</v>
          </cell>
          <cell r="L2" t="str">
            <v>Nairo Quintana</v>
          </cell>
          <cell r="M2" t="str">
            <v>Simon Yates</v>
          </cell>
          <cell r="N2" t="str">
            <v>Dmitry Kozontchuk</v>
          </cell>
          <cell r="O2" t="str">
            <v>Chris Froome</v>
          </cell>
          <cell r="P2" t="str">
            <v>Alberto Contador</v>
          </cell>
          <cell r="Q2" t="str">
            <v>Julián Arredondo</v>
          </cell>
          <cell r="R2" t="str">
            <v xml:space="preserve">Jan Bárta </v>
          </cell>
          <cell r="S2" t="str">
            <v>Pierrick Fedrigo</v>
          </cell>
          <cell r="T2" t="str">
            <v>Daniel Navarro</v>
          </cell>
          <cell r="U2" t="str">
            <v>Edvald Boasson Hagen</v>
          </cell>
          <cell r="V2" t="str">
            <v>Bryan Coquard</v>
          </cell>
        </row>
        <row r="3">
          <cell r="A3" t="str">
            <v>Laurens ten Dam</v>
          </cell>
          <cell r="B3" t="str">
            <v>Michal Kwiatkowski</v>
          </cell>
          <cell r="C3" t="str">
            <v>Thomas De Gendt</v>
          </cell>
          <cell r="D3" t="str">
            <v>Roy Curvers</v>
          </cell>
          <cell r="E3" t="str">
            <v>Jan Bakelants</v>
          </cell>
          <cell r="F3" t="str">
            <v>Jakob Fuglsang</v>
          </cell>
          <cell r="G3" t="str">
            <v>Rohan Dennis</v>
          </cell>
          <cell r="H3" t="str">
            <v>Andrew Talansky</v>
          </cell>
          <cell r="I3" t="str">
            <v xml:space="preserve">Arnaud Démare </v>
          </cell>
          <cell r="J3" t="str">
            <v>Sylvain Chavanel</v>
          </cell>
          <cell r="K3" t="str">
            <v>Nelson Oliveira</v>
          </cell>
          <cell r="L3" t="str">
            <v>Alejandro Valverde</v>
          </cell>
          <cell r="M3" t="str">
            <v xml:space="preserve"> Michael Matthews</v>
          </cell>
          <cell r="N3" t="str">
            <v xml:space="preserve"> Jacopo Guarnieri</v>
          </cell>
          <cell r="O3" t="str">
            <v xml:space="preserve"> Wout Poels</v>
          </cell>
          <cell r="P3" t="str">
            <v xml:space="preserve"> Peter Sagan</v>
          </cell>
          <cell r="Q3" t="str">
            <v xml:space="preserve"> Fabian Cancellara</v>
          </cell>
          <cell r="R3" t="str">
            <v xml:space="preserve"> Sam Bennett</v>
          </cell>
          <cell r="S3" t="str">
            <v xml:space="preserve"> Brice Feillu</v>
          </cell>
          <cell r="T3" t="str">
            <v>Dchristophe Laporte</v>
          </cell>
          <cell r="U3" t="str">
            <v xml:space="preserve"> Stephen Cummings</v>
          </cell>
          <cell r="V3" t="str">
            <v xml:space="preserve"> Pierre Rolland</v>
          </cell>
        </row>
        <row r="4">
          <cell r="A4" t="str">
            <v>Robert Gesink</v>
          </cell>
          <cell r="B4" t="str">
            <v>Tony Martin</v>
          </cell>
          <cell r="C4" t="str">
            <v xml:space="preserve"> Jens Debusschere</v>
          </cell>
          <cell r="D4" t="str">
            <v xml:space="preserve"> John Degenkolb</v>
          </cell>
          <cell r="E4" t="str">
            <v xml:space="preserve"> Romain Bardet</v>
          </cell>
          <cell r="F4" t="str">
            <v xml:space="preserve"> Lars Boom</v>
          </cell>
          <cell r="G4" t="str">
            <v xml:space="preserve"> Daniel Oss</v>
          </cell>
          <cell r="H4" t="str">
            <v xml:space="preserve"> André Cardoso</v>
          </cell>
          <cell r="I4" t="str">
            <v xml:space="preserve"> Alexandre Geniez</v>
          </cell>
          <cell r="J4" t="str">
            <v xml:space="preserve"> Stef Clement</v>
          </cell>
          <cell r="K4" t="str">
            <v xml:space="preserve"> Kristijan Durasek</v>
          </cell>
          <cell r="L4" t="str">
            <v xml:space="preserve"> José Herrada</v>
          </cell>
          <cell r="M4" t="str">
            <v xml:space="preserve"> Luke Durbridge</v>
          </cell>
          <cell r="N4" t="str">
            <v xml:space="preserve"> Marco Haller</v>
          </cell>
          <cell r="O4" t="str">
            <v>Leopold König</v>
          </cell>
          <cell r="P4" t="str">
            <v xml:space="preserve"> Michael Rogers</v>
          </cell>
          <cell r="Q4" t="str">
            <v xml:space="preserve"> Stijn Devolder</v>
          </cell>
          <cell r="R4" t="str">
            <v xml:space="preserve"> Emanuel Buchmann</v>
          </cell>
          <cell r="S4" t="str">
            <v xml:space="preserve"> Eduardo Sepúlveda </v>
          </cell>
          <cell r="T4" t="str">
            <v>Florian Senechal</v>
          </cell>
          <cell r="U4" t="str">
            <v xml:space="preserve"> Tyler Farrar</v>
          </cell>
          <cell r="V4" t="str">
            <v xml:space="preserve"> Thomas Voeckler</v>
          </cell>
        </row>
        <row r="5">
          <cell r="A5" t="str">
            <v xml:space="preserve"> Paul Martens</v>
          </cell>
          <cell r="B5" t="str">
            <v xml:space="preserve"> Rigoberto Uran</v>
          </cell>
          <cell r="C5" t="str">
            <v xml:space="preserve"> Tony Gallopin</v>
          </cell>
          <cell r="D5" t="str">
            <v xml:space="preserve"> Tom Dumoulin</v>
          </cell>
          <cell r="E5" t="str">
            <v>Christophe Riblon</v>
          </cell>
          <cell r="F5" t="str">
            <v xml:space="preserve"> Andriy Grivko</v>
          </cell>
          <cell r="G5" t="str">
            <v xml:space="preserve"> Manuel Quinziato</v>
          </cell>
          <cell r="H5" t="str">
            <v xml:space="preserve"> Dylan van Baarle</v>
          </cell>
          <cell r="I5" t="str">
            <v>Arnold Jeannesson</v>
          </cell>
          <cell r="J5" t="str">
            <v xml:space="preserve"> Jérome Coppel</v>
          </cell>
          <cell r="K5" t="str">
            <v xml:space="preserve"> Mário Costa</v>
          </cell>
          <cell r="L5" t="str">
            <v xml:space="preserve"> Adriano Malori</v>
          </cell>
          <cell r="M5" t="str">
            <v xml:space="preserve"> Simon Gerrans</v>
          </cell>
          <cell r="N5" t="str">
            <v xml:space="preserve"> Luca Paolini</v>
          </cell>
          <cell r="O5" t="str">
            <v xml:space="preserve"> Geraint Thomas</v>
          </cell>
          <cell r="P5" t="str">
            <v xml:space="preserve"> Rafal Majka</v>
          </cell>
          <cell r="Q5" t="str">
            <v xml:space="preserve"> Laurent Didier</v>
          </cell>
          <cell r="R5" t="str">
            <v xml:space="preserve"> Zakkari Dempster</v>
          </cell>
          <cell r="S5" t="str">
            <v xml:space="preserve"> Anthony Delaplace</v>
          </cell>
          <cell r="T5" t="str">
            <v>Geoffrey Soupe</v>
          </cell>
          <cell r="U5" t="str">
            <v xml:space="preserve"> Jacques Janse van Rensburg</v>
          </cell>
          <cell r="V5" t="str">
            <v xml:space="preserve"> Romain Sicard</v>
          </cell>
        </row>
        <row r="6">
          <cell r="A6" t="str">
            <v xml:space="preserve"> Steven Kruijswijk</v>
          </cell>
          <cell r="B6" t="str">
            <v xml:space="preserve"> Zdenek Stybar</v>
          </cell>
          <cell r="C6" t="str">
            <v xml:space="preserve"> André Greipel</v>
          </cell>
          <cell r="D6" t="str">
            <v xml:space="preserve"> Simon Geschke</v>
          </cell>
          <cell r="E6" t="str">
            <v xml:space="preserve"> Johan Vansummeren</v>
          </cell>
          <cell r="F6" t="str">
            <v xml:space="preserve"> Michele Scarponi</v>
          </cell>
          <cell r="G6" t="str">
            <v xml:space="preserve"> Samuel Sánchez </v>
          </cell>
          <cell r="H6" t="str">
            <v xml:space="preserve"> Ryder Hesjedal</v>
          </cell>
          <cell r="I6" t="str">
            <v xml:space="preserve"> Matthieu Ladagnous</v>
          </cell>
          <cell r="J6" t="str">
            <v xml:space="preserve"> Martin Elmiger</v>
          </cell>
          <cell r="K6" t="str">
            <v xml:space="preserve"> Filippo Pozzato</v>
          </cell>
          <cell r="L6" t="str">
            <v xml:space="preserve"> Imanol Erviti</v>
          </cell>
          <cell r="M6" t="str">
            <v xml:space="preserve"> Adam Yates</v>
          </cell>
          <cell r="N6" t="str">
            <v xml:space="preserve"> Alexander Kristoff</v>
          </cell>
          <cell r="O6" t="str">
            <v>Nicolas Roche</v>
          </cell>
          <cell r="P6" t="str">
            <v>Michael Valgren</v>
          </cell>
          <cell r="Q6" t="str">
            <v xml:space="preserve"> Markel Irizar</v>
          </cell>
          <cell r="R6" t="str">
            <v xml:space="preserve"> Bartosz Huzarski</v>
          </cell>
          <cell r="S6" t="str">
            <v xml:space="preserve"> Armindo Fonseca</v>
          </cell>
          <cell r="T6" t="str">
            <v>Julien Simon</v>
          </cell>
          <cell r="U6" t="str">
            <v xml:space="preserve"> Reinardt Janse van Rensburg</v>
          </cell>
          <cell r="V6" t="str">
            <v xml:space="preserve"> Cyril Gautier</v>
          </cell>
        </row>
        <row r="7">
          <cell r="A7" t="str">
            <v xml:space="preserve"> Tom Leezer</v>
          </cell>
          <cell r="B7" t="str">
            <v xml:space="preserve"> Mark Renshaw</v>
          </cell>
          <cell r="C7" t="str">
            <v xml:space="preserve"> Adam Hansen</v>
          </cell>
          <cell r="D7" t="str">
            <v xml:space="preserve"> Koen de Kort</v>
          </cell>
          <cell r="E7" t="str">
            <v xml:space="preserve"> Mikael Cherel</v>
          </cell>
          <cell r="F7" t="str">
            <v xml:space="preserve"> Lieuwe Westra</v>
          </cell>
          <cell r="G7" t="str">
            <v xml:space="preserve"> Michael Schar</v>
          </cell>
          <cell r="H7" t="str">
            <v xml:space="preserve"> Sebastian Langeveld</v>
          </cell>
          <cell r="I7" t="str">
            <v xml:space="preserve"> Steve Morabito</v>
          </cell>
          <cell r="J7" t="str">
            <v xml:space="preserve"> Mathias Frank</v>
          </cell>
          <cell r="K7" t="str">
            <v xml:space="preserve"> José Serpa</v>
          </cell>
          <cell r="L7" t="str">
            <v xml:space="preserve"> Gorka Izagirre</v>
          </cell>
          <cell r="M7" t="str">
            <v xml:space="preserve"> Mathew Hayman</v>
          </cell>
          <cell r="N7" t="str">
            <v xml:space="preserve"> Joaquim Rodriguez</v>
          </cell>
          <cell r="O7" t="str">
            <v xml:space="preserve"> Danny Pate</v>
          </cell>
          <cell r="P7" t="str">
            <v xml:space="preserve"> Daniele Bennati</v>
          </cell>
          <cell r="Q7" t="str">
            <v xml:space="preserve"> Bob Jungels</v>
          </cell>
          <cell r="R7" t="str">
            <v xml:space="preserve"> José Mendes</v>
          </cell>
          <cell r="S7" t="str">
            <v xml:space="preserve"> Arnaud Gerard</v>
          </cell>
          <cell r="T7" t="str">
            <v>Angel Luis Maté</v>
          </cell>
          <cell r="U7" t="str">
            <v xml:space="preserve"> Merhawi Kudus</v>
          </cell>
          <cell r="V7" t="str">
            <v>Yohan Gene</v>
          </cell>
        </row>
        <row r="8">
          <cell r="A8" t="str">
            <v xml:space="preserve"> Sep Vanmarcke</v>
          </cell>
          <cell r="B8" t="str">
            <v xml:space="preserve"> Julien Vermote</v>
          </cell>
          <cell r="C8" t="str">
            <v xml:space="preserve"> Gregory Henderson</v>
          </cell>
          <cell r="D8" t="str">
            <v xml:space="preserve"> Georg Preidler</v>
          </cell>
          <cell r="E8" t="str">
            <v xml:space="preserve"> Patrick Gretsch</v>
          </cell>
          <cell r="F8" t="str">
            <v>Dmitriy Gruzdev</v>
          </cell>
          <cell r="G8" t="str">
            <v xml:space="preserve"> Greg van Avermaet</v>
          </cell>
          <cell r="H8" t="str">
            <v>Kristjan Koren</v>
          </cell>
          <cell r="I8" t="str">
            <v xml:space="preserve"> Thibaut Pinot</v>
          </cell>
          <cell r="J8" t="str">
            <v xml:space="preserve"> Reto Hollenstein</v>
          </cell>
          <cell r="K8" t="str">
            <v xml:space="preserve"> Rafael Valls</v>
          </cell>
          <cell r="L8" t="str">
            <v xml:space="preserve"> Winner Anacona</v>
          </cell>
          <cell r="M8" t="str">
            <v xml:space="preserve"> Svein Tuft</v>
          </cell>
          <cell r="N8" t="str">
            <v xml:space="preserve"> Tiago Machado</v>
          </cell>
          <cell r="O8" t="str">
            <v xml:space="preserve"> Mikel Nieve</v>
          </cell>
          <cell r="P8" t="str">
            <v xml:space="preserve"> Ivan Basso</v>
          </cell>
          <cell r="Q8" t="str">
            <v xml:space="preserve"> Bauke Mollema</v>
          </cell>
          <cell r="R8" t="str">
            <v xml:space="preserve"> Dominik Nerz</v>
          </cell>
          <cell r="S8" t="str">
            <v xml:space="preserve"> Florian Vachon</v>
          </cell>
          <cell r="T8" t="str">
            <v>Nicolas Edet</v>
          </cell>
          <cell r="U8" t="str">
            <v xml:space="preserve"> Louis Meintjes</v>
          </cell>
          <cell r="V8" t="str">
            <v>Bryan Nauleau</v>
          </cell>
        </row>
        <row r="9">
          <cell r="A9" t="str">
            <v xml:space="preserve"> Bram Tankink</v>
          </cell>
          <cell r="B9" t="str">
            <v xml:space="preserve"> Matteo Trentin</v>
          </cell>
          <cell r="C9" t="str">
            <v xml:space="preserve"> Marcel Sieberg</v>
          </cell>
          <cell r="D9" t="str">
            <v xml:space="preserve"> Ramon Sinkeldam</v>
          </cell>
          <cell r="E9" t="str">
            <v>Jean-Christophe Peraud</v>
          </cell>
          <cell r="F9" t="str">
            <v>Tanel Tangert</v>
          </cell>
          <cell r="G9" t="str">
            <v xml:space="preserve"> Tejay van Garderen</v>
          </cell>
          <cell r="H9" t="str">
            <v>Ramunas Navardauskas</v>
          </cell>
          <cell r="I9" t="str">
            <v xml:space="preserve"> Jérémy Roy</v>
          </cell>
          <cell r="J9" t="str">
            <v xml:space="preserve"> Jarlinson Pantano</v>
          </cell>
          <cell r="K9" t="str">
            <v xml:space="preserve"> Jan Polanc</v>
          </cell>
          <cell r="L9" t="str">
            <v>Alex Dowsett</v>
          </cell>
          <cell r="M9" t="str">
            <v xml:space="preserve"> Jens Keukeleire</v>
          </cell>
          <cell r="N9" t="str">
            <v xml:space="preserve"> Giampaolo Caruso</v>
          </cell>
          <cell r="O9" t="str">
            <v xml:space="preserve"> Richie Porte</v>
          </cell>
          <cell r="P9" t="str">
            <v xml:space="preserve"> Roman Kreuziger</v>
          </cell>
          <cell r="Q9" t="str">
            <v xml:space="preserve"> Gregory Rast</v>
          </cell>
          <cell r="R9" t="str">
            <v xml:space="preserve"> Andreas Schillinger</v>
          </cell>
          <cell r="S9" t="str">
            <v xml:space="preserve"> Pierre-luc Perichon</v>
          </cell>
          <cell r="T9" t="str">
            <v>Nacer Bouhanni</v>
          </cell>
          <cell r="U9" t="str">
            <v xml:space="preserve"> Serge Pauwels</v>
          </cell>
          <cell r="V9" t="str">
            <v>Perrig Quemeneur</v>
          </cell>
        </row>
        <row r="10">
          <cell r="A10" t="str">
            <v xml:space="preserve"> Jos van Emden</v>
          </cell>
          <cell r="B10" t="str">
            <v xml:space="preserve"> Michal Golas</v>
          </cell>
          <cell r="C10" t="str">
            <v xml:space="preserve"> Tim Wellens</v>
          </cell>
          <cell r="D10" t="str">
            <v xml:space="preserve"> Albert Timmer</v>
          </cell>
          <cell r="E10" t="str">
            <v>Alexis Vuillermoz</v>
          </cell>
          <cell r="F10" t="str">
            <v>Rein Taaramäe</v>
          </cell>
          <cell r="G10" t="str">
            <v xml:space="preserve"> Danilo Wyss</v>
          </cell>
          <cell r="H10" t="str">
            <v>Nathan Haas</v>
          </cell>
          <cell r="I10" t="str">
            <v xml:space="preserve"> Benoit Vaugrenard</v>
          </cell>
          <cell r="J10" t="str">
            <v xml:space="preserve"> Marcel Wyss</v>
          </cell>
          <cell r="K10" t="str">
            <v xml:space="preserve"> Davide Cimolai</v>
          </cell>
          <cell r="L10" t="str">
            <v xml:space="preserve"> Jonathan Castroviejo</v>
          </cell>
          <cell r="M10" t="str">
            <v>*</v>
          </cell>
          <cell r="N10" t="str">
            <v xml:space="preserve"> Alberto Losada</v>
          </cell>
          <cell r="O10" t="str">
            <v xml:space="preserve"> Luis Sergio Henao</v>
          </cell>
          <cell r="P10" t="str">
            <v>Matteo Tossato</v>
          </cell>
          <cell r="Q10" t="str">
            <v xml:space="preserve"> Haimar Zubeldia</v>
          </cell>
          <cell r="R10" t="str">
            <v xml:space="preserve"> Paul Voss</v>
          </cell>
          <cell r="S10" t="str">
            <v xml:space="preserve"> Frederic Brun</v>
          </cell>
          <cell r="T10" t="str">
            <v>Kenneth Vanbilsen</v>
          </cell>
          <cell r="U10" t="str">
            <v xml:space="preserve"> Daniel Teklehaimanot</v>
          </cell>
          <cell r="V10" t="str">
            <v>Angelo Tulik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de Bondt" refreshedDate="45981.710367939813" createdVersion="8" refreshedVersion="8" minRefreshableVersion="3" recordCount="2" xr:uid="{4131C2A5-E5EE-4BF4-83B1-2E7829D0DEEA}">
  <cacheSource type="worksheet">
    <worksheetSource ref="A1:B3" sheet="participants"/>
  </cacheSource>
  <cacheFields count="2">
    <cacheField name="name" numFmtId="0">
      <sharedItems count="2">
        <s v="Player A"/>
        <s v="Player B"/>
      </sharedItems>
    </cacheField>
    <cacheField name="total points" numFmtId="0">
      <sharedItems containsSemiMixedTypes="0" containsString="0" containsNumber="1" containsInteger="1" minValue="1740" maxValue="1835" count="2">
        <n v="1835"/>
        <n v="17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6DD2B-0AE4-4EC9-89EF-EEE76B406B4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Name">
  <location ref="B2:C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Sum of total poin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opLeftCell="A10" workbookViewId="0">
      <selection activeCell="K41" sqref="K41"/>
    </sheetView>
  </sheetViews>
  <sheetFormatPr defaultColWidth="9.140625" defaultRowHeight="12.75" x14ac:dyDescent="0.2"/>
  <cols>
    <col min="1" max="1" width="18" style="6" bestFit="1" customWidth="1"/>
    <col min="2" max="2" width="9" style="6" customWidth="1"/>
    <col min="3" max="3" width="2.85546875" style="6" customWidth="1"/>
    <col min="4" max="4" width="11" style="6" customWidth="1"/>
    <col min="5" max="5" width="26.5703125" style="6" customWidth="1"/>
    <col min="6" max="6" width="9.140625" style="6" customWidth="1"/>
    <col min="7" max="7" width="14.7109375" style="6" customWidth="1"/>
    <col min="8" max="16384" width="9.140625" style="6"/>
  </cols>
  <sheetData>
    <row r="1" spans="1:11" ht="20.25" x14ac:dyDescent="0.3">
      <c r="A1" s="30" t="s">
        <v>4</v>
      </c>
    </row>
    <row r="2" spans="1:11" x14ac:dyDescent="0.2">
      <c r="A2" s="6" t="s">
        <v>5</v>
      </c>
    </row>
    <row r="3" spans="1:11" x14ac:dyDescent="0.2">
      <c r="A3" s="6" t="s">
        <v>6</v>
      </c>
    </row>
    <row r="4" spans="1:11" x14ac:dyDescent="0.2">
      <c r="A4" s="6" t="s">
        <v>7</v>
      </c>
    </row>
    <row r="6" spans="1:11" x14ac:dyDescent="0.2">
      <c r="A6" s="6" t="s">
        <v>8</v>
      </c>
    </row>
    <row r="7" spans="1:11" x14ac:dyDescent="0.2">
      <c r="A7" s="6" t="s">
        <v>9</v>
      </c>
    </row>
    <row r="8" spans="1:11" x14ac:dyDescent="0.2">
      <c r="A8" s="6" t="s">
        <v>10</v>
      </c>
    </row>
    <row r="9" spans="1:11" x14ac:dyDescent="0.2">
      <c r="A9" s="6" t="s">
        <v>11</v>
      </c>
    </row>
    <row r="12" spans="1:11" ht="13.5" thickBot="1" x14ac:dyDescent="0.25">
      <c r="A12" s="37" t="s">
        <v>12</v>
      </c>
      <c r="B12" s="37"/>
      <c r="C12" s="37"/>
      <c r="D12" s="37"/>
    </row>
    <row r="13" spans="1:11" x14ac:dyDescent="0.2">
      <c r="A13" s="38" t="s">
        <v>13</v>
      </c>
      <c r="B13" s="39"/>
      <c r="C13" s="39"/>
      <c r="D13" s="40"/>
      <c r="E13" s="38" t="s">
        <v>14</v>
      </c>
      <c r="F13" s="39"/>
      <c r="G13" s="39"/>
      <c r="H13" s="38" t="s">
        <v>15</v>
      </c>
      <c r="I13" s="39"/>
      <c r="J13" s="39"/>
      <c r="K13" s="40"/>
    </row>
    <row r="14" spans="1:11" x14ac:dyDescent="0.2">
      <c r="A14" s="41"/>
      <c r="B14" s="37"/>
      <c r="C14" s="37"/>
      <c r="D14" s="42"/>
      <c r="E14" s="41"/>
      <c r="F14" s="37"/>
      <c r="G14" s="37"/>
      <c r="H14" s="41"/>
      <c r="I14" s="37"/>
      <c r="J14" s="37"/>
      <c r="K14" s="42"/>
    </row>
    <row r="15" spans="1:11" x14ac:dyDescent="0.2">
      <c r="A15" s="43" t="s">
        <v>16</v>
      </c>
      <c r="B15" s="44" t="s">
        <v>17</v>
      </c>
      <c r="C15" s="37"/>
      <c r="D15" s="42"/>
      <c r="E15" s="41"/>
      <c r="F15" s="45" t="s">
        <v>17</v>
      </c>
      <c r="G15" s="37"/>
      <c r="H15" s="43" t="s">
        <v>16</v>
      </c>
      <c r="I15" s="44" t="s">
        <v>18</v>
      </c>
      <c r="J15" s="45" t="s">
        <v>19</v>
      </c>
      <c r="K15" s="46" t="s">
        <v>20</v>
      </c>
    </row>
    <row r="16" spans="1:11" x14ac:dyDescent="0.2">
      <c r="A16" s="47" t="s">
        <v>46</v>
      </c>
      <c r="B16" s="45">
        <v>25</v>
      </c>
      <c r="C16" s="37"/>
      <c r="D16" s="42"/>
      <c r="E16" s="47" t="s">
        <v>21</v>
      </c>
      <c r="F16" s="45">
        <v>7</v>
      </c>
      <c r="G16" s="37"/>
      <c r="H16" s="47" t="s">
        <v>46</v>
      </c>
      <c r="I16" s="48">
        <v>220</v>
      </c>
      <c r="J16" s="45">
        <v>100</v>
      </c>
      <c r="K16" s="46">
        <v>100</v>
      </c>
    </row>
    <row r="17" spans="1:11" x14ac:dyDescent="0.2">
      <c r="A17" s="41" t="s">
        <v>47</v>
      </c>
      <c r="B17" s="49">
        <v>19</v>
      </c>
      <c r="C17" s="37"/>
      <c r="D17" s="42"/>
      <c r="E17" s="41" t="s">
        <v>22</v>
      </c>
      <c r="F17" s="49">
        <v>3</v>
      </c>
      <c r="G17" s="37"/>
      <c r="H17" s="41" t="s">
        <v>47</v>
      </c>
      <c r="I17" s="50">
        <v>160</v>
      </c>
      <c r="J17" s="49">
        <v>50</v>
      </c>
      <c r="K17" s="51">
        <v>50</v>
      </c>
    </row>
    <row r="18" spans="1:11" ht="13.5" thickBot="1" x14ac:dyDescent="0.25">
      <c r="A18" s="41" t="s">
        <v>48</v>
      </c>
      <c r="B18" s="49">
        <v>14</v>
      </c>
      <c r="C18" s="37"/>
      <c r="D18" s="42"/>
      <c r="E18" s="52" t="s">
        <v>23</v>
      </c>
      <c r="F18" s="53">
        <v>3</v>
      </c>
      <c r="G18" s="54"/>
      <c r="H18" s="41" t="s">
        <v>48</v>
      </c>
      <c r="I18" s="50">
        <v>115</v>
      </c>
      <c r="J18" s="49">
        <v>20</v>
      </c>
      <c r="K18" s="51">
        <v>20</v>
      </c>
    </row>
    <row r="19" spans="1:11" x14ac:dyDescent="0.2">
      <c r="A19" s="41" t="s">
        <v>49</v>
      </c>
      <c r="B19" s="49">
        <v>10</v>
      </c>
      <c r="C19" s="37"/>
      <c r="D19" s="42"/>
      <c r="H19" s="41" t="s">
        <v>49</v>
      </c>
      <c r="I19" s="50">
        <v>85</v>
      </c>
      <c r="J19" s="49">
        <v>10</v>
      </c>
      <c r="K19" s="51">
        <v>10</v>
      </c>
    </row>
    <row r="20" spans="1:11" x14ac:dyDescent="0.2">
      <c r="A20" s="41" t="s">
        <v>50</v>
      </c>
      <c r="B20" s="49">
        <v>7</v>
      </c>
      <c r="C20" s="37"/>
      <c r="D20" s="42"/>
      <c r="E20" s="6" t="s">
        <v>24</v>
      </c>
      <c r="H20" s="41" t="s">
        <v>50</v>
      </c>
      <c r="I20" s="50">
        <v>65</v>
      </c>
      <c r="J20" s="55">
        <v>5</v>
      </c>
      <c r="K20" s="56">
        <v>5</v>
      </c>
    </row>
    <row r="21" spans="1:11" x14ac:dyDescent="0.2">
      <c r="A21" s="41" t="s">
        <v>51</v>
      </c>
      <c r="B21" s="49">
        <v>5</v>
      </c>
      <c r="C21" s="37"/>
      <c r="D21" s="42"/>
      <c r="E21" s="6" t="s">
        <v>25</v>
      </c>
      <c r="H21" s="41" t="s">
        <v>51</v>
      </c>
      <c r="I21" s="49">
        <v>50</v>
      </c>
      <c r="J21" s="37"/>
      <c r="K21" s="42"/>
    </row>
    <row r="22" spans="1:11" x14ac:dyDescent="0.2">
      <c r="A22" s="41" t="s">
        <v>52</v>
      </c>
      <c r="B22" s="49">
        <v>4</v>
      </c>
      <c r="C22" s="37"/>
      <c r="D22" s="42"/>
      <c r="H22" s="41" t="s">
        <v>52</v>
      </c>
      <c r="I22" s="49">
        <v>40</v>
      </c>
      <c r="J22" s="37"/>
      <c r="K22" s="42"/>
    </row>
    <row r="23" spans="1:11" x14ac:dyDescent="0.2">
      <c r="A23" s="41" t="s">
        <v>53</v>
      </c>
      <c r="B23" s="49">
        <v>3</v>
      </c>
      <c r="C23" s="37"/>
      <c r="D23" s="42"/>
      <c r="H23" s="41" t="s">
        <v>53</v>
      </c>
      <c r="I23" s="49">
        <v>30</v>
      </c>
      <c r="J23" s="37"/>
      <c r="K23" s="42"/>
    </row>
    <row r="24" spans="1:11" x14ac:dyDescent="0.2">
      <c r="A24" s="41" t="s">
        <v>54</v>
      </c>
      <c r="B24" s="49">
        <v>2</v>
      </c>
      <c r="C24" s="37"/>
      <c r="D24" s="42"/>
      <c r="H24" s="41" t="s">
        <v>54</v>
      </c>
      <c r="I24" s="49">
        <v>20</v>
      </c>
      <c r="J24" s="37"/>
      <c r="K24" s="42"/>
    </row>
    <row r="25" spans="1:11" ht="13.5" thickBot="1" x14ac:dyDescent="0.25">
      <c r="A25" s="52" t="s">
        <v>55</v>
      </c>
      <c r="B25" s="53">
        <v>1</v>
      </c>
      <c r="C25" s="54"/>
      <c r="D25" s="57"/>
      <c r="H25" s="52" t="s">
        <v>55</v>
      </c>
      <c r="I25" s="49">
        <v>10</v>
      </c>
      <c r="J25" s="37"/>
      <c r="K25" s="42"/>
    </row>
    <row r="26" spans="1:11" ht="13.5" thickBot="1" x14ac:dyDescent="0.25">
      <c r="H26" s="41" t="s">
        <v>56</v>
      </c>
      <c r="I26" s="49">
        <v>7</v>
      </c>
      <c r="J26" s="37"/>
      <c r="K26" s="42"/>
    </row>
    <row r="27" spans="1:11" x14ac:dyDescent="0.2">
      <c r="A27" s="38" t="s">
        <v>26</v>
      </c>
      <c r="B27" s="39"/>
      <c r="C27" s="39"/>
      <c r="D27" s="40"/>
      <c r="H27" s="41" t="s">
        <v>57</v>
      </c>
      <c r="I27" s="49">
        <v>5</v>
      </c>
      <c r="J27" s="37"/>
      <c r="K27" s="42"/>
    </row>
    <row r="28" spans="1:11" x14ac:dyDescent="0.2">
      <c r="A28" s="43" t="s">
        <v>27</v>
      </c>
      <c r="B28" s="44">
        <v>25</v>
      </c>
      <c r="C28" s="37"/>
      <c r="D28" s="42"/>
      <c r="H28" s="41" t="s">
        <v>58</v>
      </c>
      <c r="I28" s="49">
        <v>3</v>
      </c>
      <c r="J28" s="37"/>
      <c r="K28" s="42"/>
    </row>
    <row r="29" spans="1:11" x14ac:dyDescent="0.2">
      <c r="A29" s="43" t="s">
        <v>28</v>
      </c>
      <c r="B29" s="44">
        <v>13</v>
      </c>
      <c r="C29" s="37"/>
      <c r="D29" s="42"/>
      <c r="H29" s="41" t="s">
        <v>59</v>
      </c>
      <c r="I29" s="49">
        <v>2</v>
      </c>
      <c r="J29" s="37"/>
      <c r="K29" s="42"/>
    </row>
    <row r="30" spans="1:11" ht="13.5" thickBot="1" x14ac:dyDescent="0.25">
      <c r="A30" s="43" t="s">
        <v>20</v>
      </c>
      <c r="B30" s="44">
        <v>13</v>
      </c>
      <c r="C30" s="37"/>
      <c r="D30" s="42"/>
      <c r="H30" s="52" t="s">
        <v>60</v>
      </c>
      <c r="I30" s="53">
        <v>1</v>
      </c>
      <c r="J30" s="54"/>
      <c r="K30" s="57"/>
    </row>
    <row r="31" spans="1:11" ht="13.5" thickBot="1" x14ac:dyDescent="0.25">
      <c r="A31" s="58" t="s">
        <v>29</v>
      </c>
      <c r="B31" s="59">
        <v>13</v>
      </c>
      <c r="C31" s="54"/>
      <c r="D31" s="57"/>
    </row>
    <row r="33" spans="1:7" x14ac:dyDescent="0.2">
      <c r="A33" s="37" t="s">
        <v>30</v>
      </c>
      <c r="B33" s="37"/>
      <c r="C33" s="37"/>
      <c r="D33" s="37"/>
      <c r="E33" s="37"/>
      <c r="F33" s="37"/>
      <c r="G33" s="37"/>
    </row>
    <row r="34" spans="1:7" x14ac:dyDescent="0.2">
      <c r="A34" s="37" t="s">
        <v>31</v>
      </c>
      <c r="B34" s="37"/>
      <c r="C34" s="37"/>
      <c r="D34" s="37"/>
      <c r="E34" s="37"/>
      <c r="F34" s="37"/>
      <c r="G34" s="37"/>
    </row>
    <row r="37" spans="1:7" x14ac:dyDescent="0.2">
      <c r="D37" s="72"/>
    </row>
    <row r="38" spans="1:7" x14ac:dyDescent="0.2">
      <c r="B38" s="73"/>
      <c r="D38" s="72"/>
    </row>
    <row r="39" spans="1:7" x14ac:dyDescent="0.2">
      <c r="B39" s="73"/>
      <c r="D39" s="72"/>
    </row>
    <row r="40" spans="1:7" x14ac:dyDescent="0.2">
      <c r="B40" s="73"/>
      <c r="D40" s="72"/>
    </row>
    <row r="41" spans="1:7" x14ac:dyDescent="0.2">
      <c r="B41" s="73"/>
      <c r="D41" s="72"/>
    </row>
    <row r="42" spans="1:7" x14ac:dyDescent="0.2">
      <c r="D42" s="74"/>
    </row>
    <row r="43" spans="1:7" x14ac:dyDescent="0.2">
      <c r="D43" s="60"/>
    </row>
  </sheetData>
  <phoneticPr fontId="8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topLeftCell="O1" workbookViewId="0">
      <selection activeCell="T25" sqref="T25"/>
    </sheetView>
  </sheetViews>
  <sheetFormatPr defaultColWidth="18.5703125" defaultRowHeight="12.75" x14ac:dyDescent="0.2"/>
  <cols>
    <col min="1" max="1" width="21.140625" bestFit="1" customWidth="1"/>
    <col min="2" max="2" width="20.28515625" bestFit="1" customWidth="1"/>
    <col min="3" max="3" width="17.85546875" bestFit="1" customWidth="1"/>
    <col min="4" max="4" width="21.5703125" bestFit="1" customWidth="1"/>
    <col min="5" max="5" width="17.85546875" bestFit="1" customWidth="1"/>
    <col min="6" max="6" width="19" bestFit="1" customWidth="1"/>
    <col min="7" max="7" width="23" bestFit="1" customWidth="1"/>
    <col min="8" max="8" width="18.7109375" bestFit="1" customWidth="1"/>
    <col min="9" max="9" width="18.5703125" bestFit="1" customWidth="1"/>
    <col min="10" max="10" width="23.85546875" bestFit="1" customWidth="1"/>
    <col min="11" max="11" width="20.42578125" bestFit="1" customWidth="1"/>
    <col min="12" max="12" width="20.28515625" bestFit="1" customWidth="1"/>
    <col min="13" max="13" width="20.42578125" bestFit="1" customWidth="1"/>
    <col min="14" max="14" width="28.140625" bestFit="1" customWidth="1"/>
    <col min="15" max="15" width="22.5703125" bestFit="1" customWidth="1"/>
    <col min="16" max="16" width="17.140625" bestFit="1" customWidth="1"/>
    <col min="17" max="17" width="19.28515625" bestFit="1" customWidth="1"/>
    <col min="18" max="18" width="18.42578125" bestFit="1" customWidth="1"/>
    <col min="19" max="19" width="21.5703125" bestFit="1" customWidth="1"/>
    <col min="20" max="20" width="22" bestFit="1" customWidth="1"/>
    <col min="21" max="21" width="16.42578125" bestFit="1" customWidth="1"/>
    <col min="22" max="22" width="21.85546875" bestFit="1" customWidth="1"/>
  </cols>
  <sheetData>
    <row r="1" spans="1:23" s="36" customFormat="1" ht="11.25" x14ac:dyDescent="0.15">
      <c r="A1" s="36" t="s">
        <v>61</v>
      </c>
      <c r="B1" s="36" t="s">
        <v>62</v>
      </c>
      <c r="C1" s="36" t="s">
        <v>63</v>
      </c>
      <c r="D1" s="36" t="s">
        <v>64</v>
      </c>
      <c r="E1" s="36" t="s">
        <v>65</v>
      </c>
      <c r="F1" s="36" t="s">
        <v>66</v>
      </c>
      <c r="G1" s="36" t="s">
        <v>2</v>
      </c>
      <c r="H1" s="36" t="s">
        <v>67</v>
      </c>
      <c r="I1" s="36" t="s">
        <v>68</v>
      </c>
      <c r="J1" s="36" t="s">
        <v>69</v>
      </c>
      <c r="K1" s="36" t="s">
        <v>70</v>
      </c>
      <c r="L1" s="36" t="s">
        <v>71</v>
      </c>
      <c r="M1" s="36" t="s">
        <v>72</v>
      </c>
      <c r="N1" s="36" t="s">
        <v>73</v>
      </c>
      <c r="O1" s="36" t="s">
        <v>74</v>
      </c>
      <c r="P1" s="36" t="s">
        <v>75</v>
      </c>
      <c r="Q1" s="36" t="s">
        <v>1</v>
      </c>
      <c r="R1" s="36" t="s">
        <v>76</v>
      </c>
      <c r="S1" s="36" t="s">
        <v>77</v>
      </c>
      <c r="T1" s="36" t="s">
        <v>78</v>
      </c>
      <c r="U1" s="36" t="s">
        <v>79</v>
      </c>
      <c r="V1" s="36" t="s">
        <v>80</v>
      </c>
      <c r="W1" s="36" t="s">
        <v>81</v>
      </c>
    </row>
    <row r="2" spans="1:23" s="31" customFormat="1" ht="11.25" x14ac:dyDescent="0.15">
      <c r="A2" s="31" t="s">
        <v>33</v>
      </c>
      <c r="B2" s="31" t="s">
        <v>35</v>
      </c>
      <c r="C2" s="31" t="s">
        <v>82</v>
      </c>
      <c r="D2" s="31" t="s">
        <v>83</v>
      </c>
      <c r="E2" s="31" t="s">
        <v>84</v>
      </c>
      <c r="F2" s="31" t="s">
        <v>85</v>
      </c>
      <c r="G2" s="31" t="s">
        <v>86</v>
      </c>
      <c r="H2" s="31" t="s">
        <v>32</v>
      </c>
      <c r="I2" s="31" t="s">
        <v>87</v>
      </c>
      <c r="J2" s="31" t="s">
        <v>88</v>
      </c>
      <c r="K2" s="31" t="s">
        <v>89</v>
      </c>
      <c r="L2" s="31" t="s">
        <v>90</v>
      </c>
      <c r="M2" s="31" t="s">
        <v>91</v>
      </c>
      <c r="N2" s="31" t="s">
        <v>92</v>
      </c>
      <c r="O2" s="31" t="s">
        <v>93</v>
      </c>
      <c r="P2" s="31" t="s">
        <v>94</v>
      </c>
      <c r="Q2" s="31" t="s">
        <v>95</v>
      </c>
      <c r="R2" s="31" t="s">
        <v>96</v>
      </c>
      <c r="S2" s="31" t="s">
        <v>97</v>
      </c>
      <c r="T2" s="31" t="s">
        <v>98</v>
      </c>
      <c r="U2" s="31" t="s">
        <v>99</v>
      </c>
      <c r="V2" s="31" t="s">
        <v>100</v>
      </c>
      <c r="W2" s="31" t="s">
        <v>101</v>
      </c>
    </row>
    <row r="3" spans="1:23" s="31" customFormat="1" ht="11.25" x14ac:dyDescent="0.15">
      <c r="A3" s="31" t="s">
        <v>102</v>
      </c>
      <c r="B3" s="31" t="s">
        <v>103</v>
      </c>
      <c r="C3" s="31" t="s">
        <v>104</v>
      </c>
      <c r="D3" s="31" t="s">
        <v>105</v>
      </c>
      <c r="E3" s="31" t="s">
        <v>106</v>
      </c>
      <c r="F3" s="31" t="s">
        <v>107</v>
      </c>
      <c r="G3" s="31" t="s">
        <v>108</v>
      </c>
      <c r="H3" s="31" t="s">
        <v>109</v>
      </c>
      <c r="I3" s="31" t="s">
        <v>110</v>
      </c>
      <c r="J3" s="31" t="s">
        <v>111</v>
      </c>
      <c r="K3" s="31" t="s">
        <v>112</v>
      </c>
      <c r="L3" s="31" t="s">
        <v>113</v>
      </c>
      <c r="M3" s="31" t="s">
        <v>114</v>
      </c>
      <c r="N3" s="31" t="s">
        <v>115</v>
      </c>
      <c r="O3" s="31" t="s">
        <v>116</v>
      </c>
      <c r="P3" s="31" t="s">
        <v>117</v>
      </c>
      <c r="Q3" s="31" t="s">
        <v>118</v>
      </c>
      <c r="R3" s="31" t="s">
        <v>119</v>
      </c>
      <c r="S3" s="31" t="s">
        <v>120</v>
      </c>
      <c r="T3" s="31" t="s">
        <v>121</v>
      </c>
      <c r="U3" s="31" t="s">
        <v>122</v>
      </c>
      <c r="V3" s="31" t="s">
        <v>123</v>
      </c>
      <c r="W3" s="31" t="s">
        <v>124</v>
      </c>
    </row>
    <row r="4" spans="1:23" s="31" customFormat="1" ht="11.25" x14ac:dyDescent="0.15">
      <c r="A4" s="31" t="s">
        <v>125</v>
      </c>
      <c r="B4" s="31" t="s">
        <v>126</v>
      </c>
      <c r="C4" s="31" t="s">
        <v>127</v>
      </c>
      <c r="D4" s="31" t="s">
        <v>128</v>
      </c>
      <c r="E4" s="31" t="s">
        <v>129</v>
      </c>
      <c r="F4" s="31" t="s">
        <v>130</v>
      </c>
      <c r="G4" s="31" t="s">
        <v>131</v>
      </c>
      <c r="H4" s="31" t="s">
        <v>132</v>
      </c>
      <c r="I4" s="31" t="s">
        <v>133</v>
      </c>
      <c r="J4" s="31" t="s">
        <v>134</v>
      </c>
      <c r="K4" s="31" t="s">
        <v>135</v>
      </c>
      <c r="L4" s="31" t="s">
        <v>136</v>
      </c>
      <c r="M4" s="31" t="s">
        <v>137</v>
      </c>
      <c r="N4" s="31" t="s">
        <v>138</v>
      </c>
      <c r="O4" s="31" t="s">
        <v>139</v>
      </c>
      <c r="P4" s="31" t="s">
        <v>140</v>
      </c>
      <c r="Q4" s="31" t="s">
        <v>141</v>
      </c>
      <c r="R4" s="31" t="s">
        <v>142</v>
      </c>
      <c r="S4" s="31" t="s">
        <v>143</v>
      </c>
      <c r="T4" s="31" t="s">
        <v>144</v>
      </c>
      <c r="U4" s="31" t="s">
        <v>145</v>
      </c>
      <c r="V4" s="31" t="s">
        <v>146</v>
      </c>
      <c r="W4" s="31" t="s">
        <v>147</v>
      </c>
    </row>
    <row r="5" spans="1:23" s="31" customFormat="1" ht="11.25" x14ac:dyDescent="0.15">
      <c r="A5" s="31" t="s">
        <v>148</v>
      </c>
      <c r="B5" s="31" t="s">
        <v>149</v>
      </c>
      <c r="C5" s="31" t="s">
        <v>150</v>
      </c>
      <c r="D5" s="31" t="s">
        <v>151</v>
      </c>
      <c r="E5" s="31" t="s">
        <v>152</v>
      </c>
      <c r="F5" s="31" t="s">
        <v>153</v>
      </c>
      <c r="G5" s="31" t="s">
        <v>154</v>
      </c>
      <c r="H5" s="31" t="s">
        <v>155</v>
      </c>
      <c r="I5" s="31" t="s">
        <v>156</v>
      </c>
      <c r="J5" s="31" t="s">
        <v>157</v>
      </c>
      <c r="K5" s="31" t="s">
        <v>158</v>
      </c>
      <c r="L5" s="31" t="s">
        <v>159</v>
      </c>
      <c r="M5" s="31" t="s">
        <v>160</v>
      </c>
      <c r="N5" s="31" t="s">
        <v>161</v>
      </c>
      <c r="O5" s="31" t="s">
        <v>162</v>
      </c>
      <c r="P5" s="31" t="s">
        <v>163</v>
      </c>
      <c r="Q5" s="31" t="s">
        <v>164</v>
      </c>
      <c r="R5" s="31" t="s">
        <v>165</v>
      </c>
      <c r="S5" s="31" t="s">
        <v>166</v>
      </c>
      <c r="T5" s="31" t="s">
        <v>167</v>
      </c>
      <c r="U5" s="31" t="s">
        <v>168</v>
      </c>
      <c r="V5" s="31" t="s">
        <v>169</v>
      </c>
      <c r="W5" s="31" t="s">
        <v>170</v>
      </c>
    </row>
    <row r="6" spans="1:23" s="31" customFormat="1" ht="11.25" x14ac:dyDescent="0.15">
      <c r="A6" s="31" t="s">
        <v>171</v>
      </c>
      <c r="B6" s="31" t="s">
        <v>172</v>
      </c>
      <c r="C6" s="31" t="s">
        <v>173</v>
      </c>
      <c r="D6" s="31" t="s">
        <v>174</v>
      </c>
      <c r="E6" s="31" t="s">
        <v>175</v>
      </c>
      <c r="F6" s="31" t="s">
        <v>176</v>
      </c>
      <c r="G6" s="31" t="s">
        <v>177</v>
      </c>
      <c r="H6" s="31" t="s">
        <v>178</v>
      </c>
      <c r="I6" s="31" t="s">
        <v>179</v>
      </c>
      <c r="J6" s="31" t="s">
        <v>180</v>
      </c>
      <c r="K6" s="31" t="s">
        <v>181</v>
      </c>
      <c r="L6" s="31" t="s">
        <v>182</v>
      </c>
      <c r="M6" s="31" t="s">
        <v>183</v>
      </c>
      <c r="N6" s="31" t="s">
        <v>184</v>
      </c>
      <c r="O6" s="31" t="s">
        <v>185</v>
      </c>
      <c r="P6" s="31" t="s">
        <v>186</v>
      </c>
      <c r="Q6" s="31" t="s">
        <v>187</v>
      </c>
      <c r="R6" s="31" t="s">
        <v>188</v>
      </c>
      <c r="S6" s="31" t="s">
        <v>189</v>
      </c>
      <c r="T6" s="31" t="s">
        <v>190</v>
      </c>
      <c r="U6" s="31" t="s">
        <v>191</v>
      </c>
      <c r="V6" s="31" t="s">
        <v>192</v>
      </c>
      <c r="W6" s="31" t="s">
        <v>193</v>
      </c>
    </row>
    <row r="7" spans="1:23" s="31" customFormat="1" ht="11.25" x14ac:dyDescent="0.15">
      <c r="A7" s="31" t="s">
        <v>194</v>
      </c>
      <c r="B7" s="31" t="s">
        <v>195</v>
      </c>
      <c r="C7" s="31" t="s">
        <v>196</v>
      </c>
      <c r="D7" s="31" t="s">
        <v>197</v>
      </c>
      <c r="E7" s="31" t="s">
        <v>198</v>
      </c>
      <c r="F7" s="31" t="s">
        <v>199</v>
      </c>
      <c r="G7" s="31" t="s">
        <v>200</v>
      </c>
      <c r="H7" s="31" t="s">
        <v>201</v>
      </c>
      <c r="I7" s="31" t="s">
        <v>202</v>
      </c>
      <c r="J7" s="31" t="s">
        <v>203</v>
      </c>
      <c r="K7" s="31" t="s">
        <v>204</v>
      </c>
      <c r="L7" s="31" t="s">
        <v>205</v>
      </c>
      <c r="M7" s="31" t="s">
        <v>206</v>
      </c>
      <c r="N7" s="31" t="s">
        <v>207</v>
      </c>
      <c r="O7" s="31" t="s">
        <v>208</v>
      </c>
      <c r="P7" s="31" t="s">
        <v>209</v>
      </c>
      <c r="Q7" s="31" t="s">
        <v>210</v>
      </c>
      <c r="R7" s="31" t="s">
        <v>211</v>
      </c>
      <c r="S7" s="31" t="s">
        <v>212</v>
      </c>
      <c r="T7" s="31" t="s">
        <v>213</v>
      </c>
      <c r="U7" s="31" t="s">
        <v>214</v>
      </c>
      <c r="V7" s="31" t="s">
        <v>215</v>
      </c>
      <c r="W7" s="31" t="s">
        <v>216</v>
      </c>
    </row>
    <row r="8" spans="1:23" s="31" customFormat="1" ht="11.25" x14ac:dyDescent="0.15">
      <c r="A8" s="31" t="s">
        <v>217</v>
      </c>
      <c r="B8" s="31" t="s">
        <v>218</v>
      </c>
      <c r="C8" s="31" t="s">
        <v>219</v>
      </c>
      <c r="D8" s="31" t="s">
        <v>220</v>
      </c>
      <c r="E8" s="31" t="s">
        <v>221</v>
      </c>
      <c r="F8" s="31" t="s">
        <v>222</v>
      </c>
      <c r="G8" s="31" t="s">
        <v>223</v>
      </c>
      <c r="H8" s="31" t="s">
        <v>224</v>
      </c>
      <c r="I8" s="31" t="s">
        <v>225</v>
      </c>
      <c r="J8" s="31" t="s">
        <v>226</v>
      </c>
      <c r="K8" s="31" t="s">
        <v>227</v>
      </c>
      <c r="L8" s="31" t="s">
        <v>228</v>
      </c>
      <c r="M8" s="31" t="s">
        <v>229</v>
      </c>
      <c r="N8" s="31" t="s">
        <v>230</v>
      </c>
      <c r="O8" s="31" t="s">
        <v>231</v>
      </c>
      <c r="P8" s="31" t="s">
        <v>232</v>
      </c>
      <c r="Q8" s="31" t="s">
        <v>233</v>
      </c>
      <c r="R8" s="31" t="s">
        <v>234</v>
      </c>
      <c r="S8" s="31" t="s">
        <v>235</v>
      </c>
      <c r="T8" s="31" t="s">
        <v>236</v>
      </c>
      <c r="U8" s="31" t="s">
        <v>237</v>
      </c>
      <c r="V8" s="31" t="s">
        <v>238</v>
      </c>
      <c r="W8" s="31" t="s">
        <v>239</v>
      </c>
    </row>
    <row r="9" spans="1:23" s="31" customFormat="1" ht="11.25" x14ac:dyDescent="0.15">
      <c r="A9" s="31" t="s">
        <v>240</v>
      </c>
      <c r="B9" s="31" t="s">
        <v>241</v>
      </c>
      <c r="C9" s="31" t="s">
        <v>242</v>
      </c>
      <c r="D9" s="31" t="s">
        <v>243</v>
      </c>
      <c r="E9" s="31" t="s">
        <v>244</v>
      </c>
      <c r="F9" s="31" t="s">
        <v>245</v>
      </c>
      <c r="G9" s="31" t="s">
        <v>246</v>
      </c>
      <c r="H9" s="31" t="s">
        <v>247</v>
      </c>
      <c r="I9" s="31" t="s">
        <v>248</v>
      </c>
      <c r="J9" s="31" t="s">
        <v>249</v>
      </c>
      <c r="K9" s="31" t="s">
        <v>250</v>
      </c>
      <c r="L9" s="31" t="s">
        <v>34</v>
      </c>
      <c r="M9" s="31" t="s">
        <v>251</v>
      </c>
      <c r="N9" s="31" t="s">
        <v>252</v>
      </c>
      <c r="O9" s="31" t="s">
        <v>253</v>
      </c>
      <c r="P9" s="31" t="s">
        <v>254</v>
      </c>
      <c r="Q9" s="31" t="s">
        <v>255</v>
      </c>
      <c r="R9" s="31" t="s">
        <v>256</v>
      </c>
      <c r="S9" s="31" t="s">
        <v>257</v>
      </c>
      <c r="T9" s="31" t="s">
        <v>258</v>
      </c>
      <c r="U9" s="31" t="s">
        <v>259</v>
      </c>
      <c r="V9" s="31" t="s">
        <v>260</v>
      </c>
      <c r="W9" s="31" t="s">
        <v>261</v>
      </c>
    </row>
    <row r="10" spans="1:23" s="31" customFormat="1" ht="11.25" x14ac:dyDescent="0.15"/>
    <row r="11" spans="1:23" s="31" customFormat="1" ht="11.25" x14ac:dyDescent="0.15"/>
    <row r="12" spans="1:23" s="31" customFormat="1" ht="11.25" x14ac:dyDescent="0.15"/>
    <row r="13" spans="1:23" s="31" customFormat="1" ht="11.25" x14ac:dyDescent="0.15"/>
    <row r="14" spans="1:23" s="31" customFormat="1" ht="11.25" x14ac:dyDescent="0.15"/>
    <row r="15" spans="1:23" s="31" customFormat="1" ht="11.25" x14ac:dyDescent="0.15"/>
    <row r="16" spans="1:23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</sheetData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236"/>
  <sheetViews>
    <sheetView tabSelected="1" zoomScaleNormal="100" workbookViewId="0">
      <pane xSplit="1" ySplit="1" topLeftCell="B2" activePane="bottomRight" state="frozen"/>
      <selection activeCell="D11" sqref="D11"/>
      <selection pane="topRight" activeCell="D11" sqref="D11"/>
      <selection pane="bottomLeft" activeCell="D11" sqref="D11"/>
      <selection pane="bottomRight" activeCell="O37" sqref="O37"/>
    </sheetView>
  </sheetViews>
  <sheetFormatPr defaultColWidth="8.85546875" defaultRowHeight="12.75" x14ac:dyDescent="0.2"/>
  <cols>
    <col min="1" max="1" width="31.5703125" style="24" customWidth="1"/>
    <col min="2" max="22" width="4.28515625" customWidth="1"/>
    <col min="23" max="23" width="9.42578125" bestFit="1" customWidth="1"/>
    <col min="24" max="24" width="6.7109375" bestFit="1" customWidth="1"/>
  </cols>
  <sheetData>
    <row r="1" spans="1:26" x14ac:dyDescent="0.2">
      <c r="A1" s="22" t="s">
        <v>0</v>
      </c>
      <c r="B1" s="1">
        <v>1</v>
      </c>
      <c r="C1" s="20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 t="s">
        <v>278</v>
      </c>
      <c r="X1" s="1" t="s">
        <v>41</v>
      </c>
    </row>
    <row r="2" spans="1:26" x14ac:dyDescent="0.2">
      <c r="A2" s="35" t="s">
        <v>33</v>
      </c>
      <c r="B2" s="34">
        <v>0</v>
      </c>
      <c r="C2" s="34">
        <v>22</v>
      </c>
      <c r="D2" s="34">
        <v>0</v>
      </c>
      <c r="E2" s="34">
        <v>28</v>
      </c>
      <c r="F2" s="34">
        <v>29</v>
      </c>
      <c r="G2" s="34">
        <v>2</v>
      </c>
      <c r="H2" s="34">
        <v>35</v>
      </c>
      <c r="I2" s="34">
        <v>7</v>
      </c>
      <c r="J2" s="34">
        <v>7</v>
      </c>
      <c r="K2" s="34">
        <v>2</v>
      </c>
      <c r="L2" s="34">
        <v>0</v>
      </c>
      <c r="M2" s="34">
        <v>35</v>
      </c>
      <c r="N2" s="34">
        <v>35</v>
      </c>
      <c r="O2" s="34">
        <v>26</v>
      </c>
      <c r="P2" s="34">
        <v>7</v>
      </c>
      <c r="Q2" s="34">
        <v>17</v>
      </c>
      <c r="R2" s="34">
        <v>10</v>
      </c>
      <c r="S2" s="34">
        <v>29</v>
      </c>
      <c r="T2" s="34">
        <v>24</v>
      </c>
      <c r="U2" s="34">
        <v>10</v>
      </c>
      <c r="V2" s="34">
        <v>10</v>
      </c>
      <c r="W2" s="34">
        <v>280</v>
      </c>
      <c r="X2" s="2">
        <f t="shared" ref="X2:X33" si="0">SUM(B2:W2)</f>
        <v>615</v>
      </c>
      <c r="Z2" s="29"/>
    </row>
    <row r="3" spans="1:26" x14ac:dyDescent="0.2">
      <c r="A3" s="35" t="s">
        <v>35</v>
      </c>
      <c r="B3" s="34">
        <v>0</v>
      </c>
      <c r="C3" s="34">
        <v>14</v>
      </c>
      <c r="D3" s="34">
        <v>0</v>
      </c>
      <c r="E3" s="34">
        <v>14</v>
      </c>
      <c r="F3" s="34">
        <v>0</v>
      </c>
      <c r="G3" s="34">
        <v>1</v>
      </c>
      <c r="H3" s="34">
        <v>19</v>
      </c>
      <c r="I3" s="34">
        <v>0</v>
      </c>
      <c r="J3" s="34">
        <v>0</v>
      </c>
      <c r="K3" s="34">
        <v>1</v>
      </c>
      <c r="L3" s="34">
        <v>0</v>
      </c>
      <c r="M3" s="34">
        <v>19</v>
      </c>
      <c r="N3" s="34">
        <v>19</v>
      </c>
      <c r="O3" s="34">
        <v>14</v>
      </c>
      <c r="P3" s="34">
        <v>0</v>
      </c>
      <c r="Q3" s="34">
        <v>5</v>
      </c>
      <c r="R3" s="34">
        <v>0</v>
      </c>
      <c r="S3" s="34">
        <v>14</v>
      </c>
      <c r="T3" s="34">
        <v>19</v>
      </c>
      <c r="U3" s="34">
        <v>0</v>
      </c>
      <c r="V3" s="34">
        <v>0</v>
      </c>
      <c r="W3" s="34">
        <v>170</v>
      </c>
      <c r="X3" s="2">
        <f t="shared" si="0"/>
        <v>309</v>
      </c>
    </row>
    <row r="4" spans="1:26" x14ac:dyDescent="0.2">
      <c r="A4" s="35" t="s">
        <v>87</v>
      </c>
      <c r="B4" s="34">
        <v>0</v>
      </c>
      <c r="C4" s="34">
        <v>0</v>
      </c>
      <c r="D4" s="34">
        <v>22</v>
      </c>
      <c r="E4" s="34">
        <v>3</v>
      </c>
      <c r="F4" s="34">
        <v>0</v>
      </c>
      <c r="G4" s="34">
        <v>3</v>
      </c>
      <c r="H4" s="34">
        <v>0</v>
      </c>
      <c r="I4" s="34">
        <v>28</v>
      </c>
      <c r="J4" s="34">
        <v>22</v>
      </c>
      <c r="K4" s="34">
        <v>3</v>
      </c>
      <c r="L4" s="34">
        <v>3</v>
      </c>
      <c r="M4" s="34">
        <v>3</v>
      </c>
      <c r="N4" s="34">
        <v>3</v>
      </c>
      <c r="O4" s="34">
        <v>3</v>
      </c>
      <c r="P4" s="34">
        <v>3</v>
      </c>
      <c r="Q4" s="34">
        <v>3</v>
      </c>
      <c r="R4" s="34">
        <v>28</v>
      </c>
      <c r="S4" s="34">
        <v>3</v>
      </c>
      <c r="T4" s="34">
        <v>3</v>
      </c>
      <c r="U4" s="34">
        <v>3</v>
      </c>
      <c r="V4" s="34">
        <v>0</v>
      </c>
      <c r="W4" s="34">
        <v>100</v>
      </c>
      <c r="X4" s="2">
        <f t="shared" si="0"/>
        <v>236</v>
      </c>
    </row>
    <row r="5" spans="1:26" x14ac:dyDescent="0.2">
      <c r="A5" s="35" t="s">
        <v>109</v>
      </c>
      <c r="B5" s="34">
        <v>0</v>
      </c>
      <c r="C5" s="34">
        <v>0</v>
      </c>
      <c r="D5" s="34">
        <v>0</v>
      </c>
      <c r="E5" s="34">
        <v>0</v>
      </c>
      <c r="F5" s="34">
        <v>5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14</v>
      </c>
      <c r="N5" s="34">
        <v>10</v>
      </c>
      <c r="O5" s="34">
        <v>7</v>
      </c>
      <c r="P5" s="34">
        <v>0</v>
      </c>
      <c r="Q5" s="34">
        <v>1</v>
      </c>
      <c r="R5" s="34">
        <v>0</v>
      </c>
      <c r="S5" s="34">
        <v>0</v>
      </c>
      <c r="T5" s="34">
        <v>10</v>
      </c>
      <c r="U5" s="34">
        <v>0</v>
      </c>
      <c r="V5" s="34">
        <v>0</v>
      </c>
      <c r="W5" s="34">
        <v>115</v>
      </c>
      <c r="X5" s="2">
        <f t="shared" si="0"/>
        <v>162</v>
      </c>
    </row>
    <row r="6" spans="1:26" x14ac:dyDescent="0.2">
      <c r="A6" s="35" t="s">
        <v>218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19</v>
      </c>
      <c r="J6" s="34">
        <v>0</v>
      </c>
      <c r="K6" s="34">
        <v>0</v>
      </c>
      <c r="L6" s="34">
        <v>7</v>
      </c>
      <c r="M6" s="34">
        <v>0</v>
      </c>
      <c r="N6" s="34">
        <v>0</v>
      </c>
      <c r="O6" s="34">
        <v>0</v>
      </c>
      <c r="P6" s="34">
        <v>10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25</v>
      </c>
      <c r="W6" s="34">
        <v>100</v>
      </c>
      <c r="X6" s="2">
        <f t="shared" si="0"/>
        <v>161</v>
      </c>
    </row>
    <row r="7" spans="1:26" x14ac:dyDescent="0.2">
      <c r="A7" s="35" t="s">
        <v>98</v>
      </c>
      <c r="B7" s="34">
        <v>0</v>
      </c>
      <c r="C7" s="34">
        <v>5</v>
      </c>
      <c r="D7" s="34">
        <v>0</v>
      </c>
      <c r="E7" s="34">
        <v>10</v>
      </c>
      <c r="F7" s="34">
        <v>0</v>
      </c>
      <c r="G7" s="34">
        <v>0</v>
      </c>
      <c r="H7" s="34">
        <v>14</v>
      </c>
      <c r="I7" s="34">
        <v>0</v>
      </c>
      <c r="J7" s="34">
        <v>0</v>
      </c>
      <c r="K7" s="34">
        <v>0</v>
      </c>
      <c r="L7" s="34">
        <v>0</v>
      </c>
      <c r="M7" s="34">
        <v>7</v>
      </c>
      <c r="N7" s="34">
        <v>4</v>
      </c>
      <c r="O7" s="34">
        <v>5</v>
      </c>
      <c r="P7" s="34">
        <v>0</v>
      </c>
      <c r="Q7" s="34">
        <v>0</v>
      </c>
      <c r="R7" s="34">
        <v>0</v>
      </c>
      <c r="S7" s="34">
        <v>10</v>
      </c>
      <c r="T7" s="34">
        <v>7</v>
      </c>
      <c r="U7" s="34">
        <v>0</v>
      </c>
      <c r="V7" s="34">
        <v>0</v>
      </c>
      <c r="W7" s="34">
        <v>85</v>
      </c>
      <c r="X7" s="2">
        <f t="shared" si="0"/>
        <v>147</v>
      </c>
    </row>
    <row r="8" spans="1:26" x14ac:dyDescent="0.2">
      <c r="A8" s="35" t="s">
        <v>94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10</v>
      </c>
      <c r="I8" s="34">
        <v>0</v>
      </c>
      <c r="J8" s="34">
        <v>0</v>
      </c>
      <c r="K8" s="34">
        <v>0</v>
      </c>
      <c r="L8" s="34">
        <v>0</v>
      </c>
      <c r="M8" s="34">
        <v>3</v>
      </c>
      <c r="N8" s="34">
        <v>1</v>
      </c>
      <c r="O8" s="34">
        <v>10</v>
      </c>
      <c r="P8" s="34">
        <v>0</v>
      </c>
      <c r="Q8" s="34">
        <v>0</v>
      </c>
      <c r="R8" s="34">
        <v>0</v>
      </c>
      <c r="S8" s="34">
        <v>5</v>
      </c>
      <c r="T8" s="34">
        <v>5</v>
      </c>
      <c r="U8" s="34">
        <v>0</v>
      </c>
      <c r="V8" s="34">
        <v>0</v>
      </c>
      <c r="W8" s="34">
        <v>65</v>
      </c>
      <c r="X8" s="2">
        <f t="shared" si="0"/>
        <v>99</v>
      </c>
    </row>
    <row r="9" spans="1:26" x14ac:dyDescent="0.2">
      <c r="A9" s="35" t="s">
        <v>83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25</v>
      </c>
      <c r="H9" s="34">
        <v>0</v>
      </c>
      <c r="I9" s="34">
        <v>0</v>
      </c>
      <c r="J9" s="34">
        <v>0</v>
      </c>
      <c r="K9" s="34">
        <v>21</v>
      </c>
      <c r="L9" s="34">
        <v>7</v>
      </c>
      <c r="M9" s="34">
        <v>0</v>
      </c>
      <c r="N9" s="34">
        <v>0</v>
      </c>
      <c r="O9" s="34">
        <v>4</v>
      </c>
      <c r="P9" s="34">
        <v>0</v>
      </c>
      <c r="Q9" s="34">
        <v>19</v>
      </c>
      <c r="R9" s="34">
        <v>0</v>
      </c>
      <c r="S9" s="34">
        <v>0</v>
      </c>
      <c r="T9" s="34">
        <v>3</v>
      </c>
      <c r="U9" s="34">
        <v>0</v>
      </c>
      <c r="V9" s="34">
        <v>0</v>
      </c>
      <c r="W9" s="34">
        <v>20</v>
      </c>
      <c r="X9" s="2">
        <f t="shared" si="0"/>
        <v>99</v>
      </c>
    </row>
    <row r="10" spans="1:26" x14ac:dyDescent="0.2">
      <c r="A10" s="35" t="s">
        <v>204</v>
      </c>
      <c r="B10" s="34">
        <v>0</v>
      </c>
      <c r="C10" s="34">
        <v>32</v>
      </c>
      <c r="D10" s="34">
        <v>7</v>
      </c>
      <c r="E10" s="34">
        <v>26</v>
      </c>
      <c r="F10" s="34">
        <v>0</v>
      </c>
      <c r="G10" s="34">
        <v>10</v>
      </c>
      <c r="H10" s="34">
        <v>0</v>
      </c>
      <c r="I10" s="34">
        <v>0</v>
      </c>
      <c r="J10" s="34">
        <v>0</v>
      </c>
      <c r="K10" s="34">
        <v>0</v>
      </c>
      <c r="L10" s="34">
        <v>14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2">
        <f t="shared" si="0"/>
        <v>89</v>
      </c>
    </row>
    <row r="11" spans="1:26" x14ac:dyDescent="0.2">
      <c r="A11" s="35" t="s">
        <v>119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1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7</v>
      </c>
      <c r="S11" s="34">
        <v>0</v>
      </c>
      <c r="T11" s="34">
        <v>0</v>
      </c>
      <c r="U11" s="34">
        <v>0</v>
      </c>
      <c r="V11" s="34">
        <v>19</v>
      </c>
      <c r="W11" s="34">
        <v>50</v>
      </c>
      <c r="X11" s="2">
        <f t="shared" si="0"/>
        <v>77</v>
      </c>
    </row>
    <row r="12" spans="1:26" x14ac:dyDescent="0.2">
      <c r="A12" s="35" t="s">
        <v>108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19</v>
      </c>
      <c r="L12" s="34">
        <v>0</v>
      </c>
      <c r="M12" s="34">
        <v>0</v>
      </c>
      <c r="N12" s="34">
        <v>0</v>
      </c>
      <c r="O12" s="34">
        <v>25</v>
      </c>
      <c r="P12" s="34">
        <v>0</v>
      </c>
      <c r="Q12" s="34">
        <v>0</v>
      </c>
      <c r="R12" s="34">
        <v>0</v>
      </c>
      <c r="S12" s="34">
        <v>0</v>
      </c>
      <c r="T12" s="34">
        <v>25</v>
      </c>
      <c r="U12" s="34">
        <v>0</v>
      </c>
      <c r="V12" s="34">
        <v>0</v>
      </c>
      <c r="W12" s="34">
        <v>5</v>
      </c>
      <c r="X12" s="2">
        <f t="shared" si="0"/>
        <v>74</v>
      </c>
    </row>
    <row r="13" spans="1:26" x14ac:dyDescent="0.2">
      <c r="A13" s="35" t="s">
        <v>101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1</v>
      </c>
      <c r="I13" s="34">
        <v>0</v>
      </c>
      <c r="J13" s="34">
        <v>0</v>
      </c>
      <c r="K13" s="34">
        <v>0</v>
      </c>
      <c r="L13" s="34">
        <v>0</v>
      </c>
      <c r="M13" s="34">
        <v>10</v>
      </c>
      <c r="N13" s="34">
        <v>0</v>
      </c>
      <c r="O13" s="34">
        <v>2</v>
      </c>
      <c r="P13" s="34">
        <v>0</v>
      </c>
      <c r="Q13" s="34">
        <v>0</v>
      </c>
      <c r="R13" s="34">
        <v>0</v>
      </c>
      <c r="S13" s="34">
        <v>2</v>
      </c>
      <c r="T13" s="34">
        <v>4</v>
      </c>
      <c r="U13" s="34">
        <v>0</v>
      </c>
      <c r="V13" s="34">
        <v>0</v>
      </c>
      <c r="W13" s="34">
        <v>50</v>
      </c>
      <c r="X13" s="2">
        <f t="shared" si="0"/>
        <v>69</v>
      </c>
    </row>
    <row r="14" spans="1:26" x14ac:dyDescent="0.2">
      <c r="A14" s="35" t="s">
        <v>92</v>
      </c>
      <c r="B14" s="34">
        <v>0</v>
      </c>
      <c r="C14" s="34">
        <v>3</v>
      </c>
      <c r="D14" s="34">
        <v>0</v>
      </c>
      <c r="E14" s="34">
        <v>1</v>
      </c>
      <c r="F14" s="34">
        <v>7</v>
      </c>
      <c r="G14" s="34">
        <v>0</v>
      </c>
      <c r="H14" s="34">
        <v>4</v>
      </c>
      <c r="I14" s="34">
        <v>0</v>
      </c>
      <c r="J14" s="34">
        <v>0</v>
      </c>
      <c r="K14" s="34">
        <v>0</v>
      </c>
      <c r="L14" s="34">
        <v>0</v>
      </c>
      <c r="M14" s="34">
        <v>5</v>
      </c>
      <c r="N14" s="34">
        <v>0</v>
      </c>
      <c r="O14" s="34">
        <v>1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3</v>
      </c>
      <c r="W14" s="34">
        <v>40</v>
      </c>
      <c r="X14" s="2">
        <f t="shared" si="0"/>
        <v>64</v>
      </c>
    </row>
    <row r="15" spans="1:26" x14ac:dyDescent="0.2">
      <c r="A15" s="35" t="s">
        <v>32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2</v>
      </c>
      <c r="N15" s="34">
        <v>14</v>
      </c>
      <c r="O15" s="34">
        <v>3</v>
      </c>
      <c r="P15" s="34">
        <v>0</v>
      </c>
      <c r="Q15" s="34">
        <v>2</v>
      </c>
      <c r="R15" s="34">
        <v>0</v>
      </c>
      <c r="S15" s="34">
        <v>4</v>
      </c>
      <c r="T15" s="34">
        <v>0</v>
      </c>
      <c r="U15" s="34">
        <v>0</v>
      </c>
      <c r="V15" s="34">
        <v>0</v>
      </c>
      <c r="W15" s="34">
        <v>30</v>
      </c>
      <c r="X15" s="2">
        <f t="shared" si="0"/>
        <v>55</v>
      </c>
    </row>
    <row r="16" spans="1:26" x14ac:dyDescent="0.2">
      <c r="A16" s="35" t="s">
        <v>150</v>
      </c>
      <c r="B16" s="34">
        <v>0</v>
      </c>
      <c r="C16" s="34">
        <v>0</v>
      </c>
      <c r="D16" s="34">
        <v>25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25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2">
        <f t="shared" si="0"/>
        <v>50</v>
      </c>
    </row>
    <row r="17" spans="1:24" x14ac:dyDescent="0.2">
      <c r="A17" s="35" t="s">
        <v>84</v>
      </c>
      <c r="B17" s="34">
        <v>19</v>
      </c>
      <c r="C17" s="34">
        <v>0</v>
      </c>
      <c r="D17" s="34">
        <v>5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5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20</v>
      </c>
      <c r="X17" s="2">
        <f t="shared" si="0"/>
        <v>49</v>
      </c>
    </row>
    <row r="18" spans="1:24" x14ac:dyDescent="0.2">
      <c r="A18" s="35" t="s">
        <v>100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7</v>
      </c>
      <c r="J18" s="34">
        <v>14</v>
      </c>
      <c r="K18" s="34">
        <v>0</v>
      </c>
      <c r="L18" s="34">
        <v>10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10</v>
      </c>
      <c r="S18" s="34">
        <v>0</v>
      </c>
      <c r="T18" s="34">
        <v>0</v>
      </c>
      <c r="U18" s="34">
        <v>0</v>
      </c>
      <c r="V18" s="34">
        <v>4</v>
      </c>
      <c r="W18" s="34">
        <v>0</v>
      </c>
      <c r="X18" s="2">
        <f t="shared" si="0"/>
        <v>45</v>
      </c>
    </row>
    <row r="19" spans="1:24" x14ac:dyDescent="0.2">
      <c r="A19" s="35" t="s">
        <v>135</v>
      </c>
      <c r="B19" s="34">
        <v>0</v>
      </c>
      <c r="C19" s="34">
        <v>0</v>
      </c>
      <c r="D19" s="34">
        <v>4</v>
      </c>
      <c r="E19" s="34">
        <v>0</v>
      </c>
      <c r="F19" s="34">
        <v>0</v>
      </c>
      <c r="G19" s="34">
        <v>0</v>
      </c>
      <c r="H19" s="34">
        <v>0</v>
      </c>
      <c r="I19" s="34">
        <v>14</v>
      </c>
      <c r="J19" s="34">
        <v>1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25</v>
      </c>
      <c r="V19" s="34">
        <v>0</v>
      </c>
      <c r="W19" s="34">
        <v>0</v>
      </c>
      <c r="X19" s="2">
        <f t="shared" si="0"/>
        <v>44</v>
      </c>
    </row>
    <row r="20" spans="1:24" x14ac:dyDescent="0.2">
      <c r="A20" s="35" t="s">
        <v>217</v>
      </c>
      <c r="B20" s="34">
        <v>0</v>
      </c>
      <c r="C20" s="34">
        <v>0</v>
      </c>
      <c r="D20" s="34">
        <v>3</v>
      </c>
      <c r="E20" s="34">
        <v>0</v>
      </c>
      <c r="F20" s="34">
        <v>0</v>
      </c>
      <c r="G20" s="34">
        <v>3</v>
      </c>
      <c r="H20" s="34">
        <v>3</v>
      </c>
      <c r="I20" s="34">
        <v>3</v>
      </c>
      <c r="J20" s="34">
        <v>3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25</v>
      </c>
      <c r="Q20" s="34">
        <v>0</v>
      </c>
      <c r="R20" s="34">
        <v>0</v>
      </c>
      <c r="S20" s="34">
        <v>0</v>
      </c>
      <c r="T20" s="34">
        <v>0</v>
      </c>
      <c r="U20" s="34">
        <v>3</v>
      </c>
      <c r="V20" s="34">
        <v>0</v>
      </c>
      <c r="W20" s="34">
        <v>0</v>
      </c>
      <c r="X20" s="2">
        <f t="shared" si="0"/>
        <v>43</v>
      </c>
    </row>
    <row r="21" spans="1:24" x14ac:dyDescent="0.2">
      <c r="A21" s="35" t="s">
        <v>91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10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25</v>
      </c>
      <c r="T21" s="34">
        <v>0</v>
      </c>
      <c r="U21" s="34">
        <v>0</v>
      </c>
      <c r="V21" s="34">
        <v>0</v>
      </c>
      <c r="W21" s="34">
        <v>7</v>
      </c>
      <c r="X21" s="2">
        <f t="shared" si="0"/>
        <v>42</v>
      </c>
    </row>
    <row r="22" spans="1:24" x14ac:dyDescent="0.2">
      <c r="A22" s="35" t="s">
        <v>82</v>
      </c>
      <c r="B22" s="34">
        <v>0</v>
      </c>
      <c r="C22" s="34">
        <v>0</v>
      </c>
      <c r="D22" s="34">
        <v>0</v>
      </c>
      <c r="E22" s="34">
        <v>4</v>
      </c>
      <c r="F22" s="34">
        <v>28</v>
      </c>
      <c r="G22" s="34">
        <v>0</v>
      </c>
      <c r="H22" s="34">
        <v>5</v>
      </c>
      <c r="I22" s="34">
        <v>0</v>
      </c>
      <c r="J22" s="34">
        <v>0</v>
      </c>
      <c r="K22" s="34">
        <v>0</v>
      </c>
      <c r="L22" s="34">
        <v>0</v>
      </c>
      <c r="M22" s="34">
        <v>4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2">
        <f t="shared" si="0"/>
        <v>41</v>
      </c>
    </row>
    <row r="23" spans="1:24" x14ac:dyDescent="0.2">
      <c r="A23" s="35" t="s">
        <v>89</v>
      </c>
      <c r="B23" s="34">
        <v>35</v>
      </c>
      <c r="C23" s="34">
        <v>3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2">
        <f t="shared" si="0"/>
        <v>38</v>
      </c>
    </row>
    <row r="24" spans="1:24" x14ac:dyDescent="0.2">
      <c r="A24" s="35" t="s">
        <v>241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7</v>
      </c>
      <c r="H24" s="34">
        <v>0</v>
      </c>
      <c r="I24" s="34">
        <v>0</v>
      </c>
      <c r="J24" s="34">
        <v>0</v>
      </c>
      <c r="K24" s="34">
        <v>25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1</v>
      </c>
      <c r="U24" s="34">
        <v>0</v>
      </c>
      <c r="V24" s="34">
        <v>0</v>
      </c>
      <c r="W24" s="34">
        <v>1</v>
      </c>
      <c r="X24" s="2">
        <f t="shared" si="0"/>
        <v>34</v>
      </c>
    </row>
    <row r="25" spans="1:24" x14ac:dyDescent="0.2">
      <c r="A25" s="35" t="s">
        <v>199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14</v>
      </c>
      <c r="W25" s="34">
        <v>20</v>
      </c>
      <c r="X25" s="2">
        <f t="shared" si="0"/>
        <v>34</v>
      </c>
    </row>
    <row r="26" spans="1:24" x14ac:dyDescent="0.2">
      <c r="A26" s="35" t="s">
        <v>172</v>
      </c>
      <c r="B26" s="34">
        <v>3</v>
      </c>
      <c r="C26" s="34">
        <v>0</v>
      </c>
      <c r="D26" s="34">
        <v>0</v>
      </c>
      <c r="E26" s="34">
        <v>3</v>
      </c>
      <c r="F26" s="34">
        <v>0</v>
      </c>
      <c r="G26" s="34">
        <v>0</v>
      </c>
      <c r="H26" s="34">
        <v>7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5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2</v>
      </c>
      <c r="V26" s="34">
        <v>7</v>
      </c>
      <c r="W26" s="34">
        <v>5</v>
      </c>
      <c r="X26" s="2">
        <f t="shared" si="0"/>
        <v>32</v>
      </c>
    </row>
    <row r="27" spans="1:24" x14ac:dyDescent="0.2">
      <c r="A27" s="35" t="s">
        <v>173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25</v>
      </c>
      <c r="R27" s="34">
        <v>0</v>
      </c>
      <c r="S27" s="34">
        <v>0</v>
      </c>
      <c r="T27" s="34">
        <v>2</v>
      </c>
      <c r="U27" s="34">
        <v>0</v>
      </c>
      <c r="V27" s="34">
        <v>0</v>
      </c>
      <c r="W27" s="34">
        <v>0</v>
      </c>
      <c r="X27" s="2">
        <f t="shared" si="0"/>
        <v>27</v>
      </c>
    </row>
    <row r="28" spans="1:24" x14ac:dyDescent="0.2">
      <c r="A28" s="35" t="s">
        <v>124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25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2">
        <f t="shared" si="0"/>
        <v>25</v>
      </c>
    </row>
    <row r="29" spans="1:24" x14ac:dyDescent="0.2">
      <c r="A29" s="35" t="s">
        <v>261</v>
      </c>
      <c r="B29" s="34">
        <v>14</v>
      </c>
      <c r="C29" s="34">
        <v>0</v>
      </c>
      <c r="D29" s="34">
        <v>10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2">
        <f t="shared" si="0"/>
        <v>24</v>
      </c>
    </row>
    <row r="30" spans="1:24" x14ac:dyDescent="0.2">
      <c r="A30" s="35" t="s">
        <v>90</v>
      </c>
      <c r="B30" s="34">
        <v>0</v>
      </c>
      <c r="C30" s="34">
        <v>7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14</v>
      </c>
      <c r="Q30" s="34">
        <v>3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2">
        <f t="shared" si="0"/>
        <v>24</v>
      </c>
    </row>
    <row r="31" spans="1:24" x14ac:dyDescent="0.2">
      <c r="A31" s="35" t="s">
        <v>157</v>
      </c>
      <c r="B31" s="34">
        <v>0</v>
      </c>
      <c r="C31" s="34">
        <v>10</v>
      </c>
      <c r="D31" s="34">
        <v>0</v>
      </c>
      <c r="E31" s="34">
        <v>7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7</v>
      </c>
      <c r="V31" s="34">
        <v>0</v>
      </c>
      <c r="W31" s="34">
        <v>0</v>
      </c>
      <c r="X31" s="2">
        <f t="shared" si="0"/>
        <v>24</v>
      </c>
    </row>
    <row r="32" spans="1:24" x14ac:dyDescent="0.2">
      <c r="A32" s="35" t="s">
        <v>132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3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19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2">
        <f t="shared" si="0"/>
        <v>22</v>
      </c>
    </row>
    <row r="33" spans="1:24" x14ac:dyDescent="0.2">
      <c r="A33" s="35" t="s">
        <v>228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14</v>
      </c>
      <c r="H33" s="34">
        <v>0</v>
      </c>
      <c r="I33" s="34">
        <v>0</v>
      </c>
      <c r="J33" s="34">
        <v>0</v>
      </c>
      <c r="K33" s="34">
        <v>7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2">
        <f t="shared" si="0"/>
        <v>21</v>
      </c>
    </row>
    <row r="34" spans="1:24" x14ac:dyDescent="0.2">
      <c r="A34" s="35" t="s">
        <v>156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19</v>
      </c>
      <c r="H34" s="34">
        <v>0</v>
      </c>
      <c r="I34" s="34">
        <v>0</v>
      </c>
      <c r="J34" s="34">
        <v>0</v>
      </c>
      <c r="K34" s="34">
        <v>0</v>
      </c>
      <c r="L34" s="34">
        <v>2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2">
        <f t="shared" ref="X34:X65" si="1">SUM(B34:W34)</f>
        <v>21</v>
      </c>
    </row>
    <row r="35" spans="1:24" x14ac:dyDescent="0.2">
      <c r="A35" s="35" t="s">
        <v>251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19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2">
        <f t="shared" si="1"/>
        <v>19</v>
      </c>
    </row>
    <row r="36" spans="1:24" x14ac:dyDescent="0.2">
      <c r="A36" s="35" t="s">
        <v>149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19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2">
        <f t="shared" si="1"/>
        <v>19</v>
      </c>
    </row>
    <row r="37" spans="1:24" x14ac:dyDescent="0.2">
      <c r="A37" s="35" t="s">
        <v>258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19</v>
      </c>
      <c r="V37" s="34">
        <v>0</v>
      </c>
      <c r="W37" s="34">
        <v>0</v>
      </c>
      <c r="X37" s="2">
        <f t="shared" si="1"/>
        <v>19</v>
      </c>
    </row>
    <row r="38" spans="1:24" x14ac:dyDescent="0.2">
      <c r="A38" s="35" t="s">
        <v>190</v>
      </c>
      <c r="B38" s="34">
        <v>0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5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14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2">
        <f t="shared" si="1"/>
        <v>19</v>
      </c>
    </row>
    <row r="39" spans="1:24" x14ac:dyDescent="0.2">
      <c r="A39" s="35" t="s">
        <v>107</v>
      </c>
      <c r="B39" s="34">
        <v>0</v>
      </c>
      <c r="C39" s="34">
        <v>0</v>
      </c>
      <c r="D39" s="34">
        <v>14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4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2">
        <f t="shared" si="1"/>
        <v>18</v>
      </c>
    </row>
    <row r="40" spans="1:24" x14ac:dyDescent="0.2">
      <c r="A40" s="35" t="s">
        <v>176</v>
      </c>
      <c r="B40" s="34">
        <v>0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6</v>
      </c>
      <c r="L40" s="34">
        <v>3</v>
      </c>
      <c r="M40" s="34">
        <v>0</v>
      </c>
      <c r="N40" s="34">
        <v>2</v>
      </c>
      <c r="O40" s="34">
        <v>3</v>
      </c>
      <c r="P40" s="34">
        <v>3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2">
        <f t="shared" si="1"/>
        <v>17</v>
      </c>
    </row>
    <row r="41" spans="1:24" x14ac:dyDescent="0.2">
      <c r="A41" s="35" t="s">
        <v>144</v>
      </c>
      <c r="B41" s="34">
        <v>0</v>
      </c>
      <c r="C41" s="34">
        <v>0</v>
      </c>
      <c r="D41" s="34">
        <v>7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10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2">
        <f t="shared" si="1"/>
        <v>17</v>
      </c>
    </row>
    <row r="42" spans="1:24" x14ac:dyDescent="0.2">
      <c r="A42" s="35" t="s">
        <v>212</v>
      </c>
      <c r="B42" s="34">
        <v>0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3</v>
      </c>
      <c r="Q42" s="34">
        <v>0</v>
      </c>
      <c r="R42" s="34">
        <v>0</v>
      </c>
      <c r="S42" s="34">
        <v>0</v>
      </c>
      <c r="T42" s="34">
        <v>0</v>
      </c>
      <c r="U42" s="34">
        <v>4</v>
      </c>
      <c r="V42" s="34">
        <v>0</v>
      </c>
      <c r="W42" s="34">
        <v>10</v>
      </c>
      <c r="X42" s="2">
        <f t="shared" si="1"/>
        <v>17</v>
      </c>
    </row>
    <row r="43" spans="1:24" x14ac:dyDescent="0.2">
      <c r="A43" s="35" t="s">
        <v>226</v>
      </c>
      <c r="B43" s="34">
        <v>4</v>
      </c>
      <c r="C43" s="34">
        <v>0</v>
      </c>
      <c r="D43" s="34">
        <v>0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7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4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2">
        <f t="shared" si="1"/>
        <v>15</v>
      </c>
    </row>
    <row r="44" spans="1:24" x14ac:dyDescent="0.2">
      <c r="A44" s="35" t="s">
        <v>235</v>
      </c>
      <c r="B44" s="34">
        <v>10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5</v>
      </c>
      <c r="X44" s="2">
        <f t="shared" si="1"/>
        <v>15</v>
      </c>
    </row>
    <row r="45" spans="1:24" x14ac:dyDescent="0.2">
      <c r="A45" s="35" t="s">
        <v>127</v>
      </c>
      <c r="B45" s="34">
        <v>0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14</v>
      </c>
      <c r="V45" s="34">
        <v>0</v>
      </c>
      <c r="W45" s="34">
        <v>0</v>
      </c>
      <c r="X45" s="2">
        <f t="shared" si="1"/>
        <v>14</v>
      </c>
    </row>
    <row r="46" spans="1:24" x14ac:dyDescent="0.2">
      <c r="A46" s="35" t="s">
        <v>103</v>
      </c>
      <c r="B46" s="34">
        <v>0</v>
      </c>
      <c r="C46" s="34">
        <v>0</v>
      </c>
      <c r="D46" s="34">
        <v>0</v>
      </c>
      <c r="E46" s="34">
        <v>0</v>
      </c>
      <c r="F46" s="34">
        <v>14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2">
        <f t="shared" si="1"/>
        <v>14</v>
      </c>
    </row>
    <row r="47" spans="1:24" x14ac:dyDescent="0.2">
      <c r="A47" s="35" t="s">
        <v>177</v>
      </c>
      <c r="B47" s="34">
        <v>0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2</v>
      </c>
      <c r="I47" s="34">
        <v>0</v>
      </c>
      <c r="J47" s="34">
        <v>0</v>
      </c>
      <c r="K47" s="34">
        <v>0</v>
      </c>
      <c r="L47" s="34">
        <v>5</v>
      </c>
      <c r="M47" s="34">
        <v>0</v>
      </c>
      <c r="N47" s="34">
        <v>0</v>
      </c>
      <c r="O47" s="34">
        <v>0</v>
      </c>
      <c r="P47" s="34">
        <v>7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2">
        <f t="shared" si="1"/>
        <v>14</v>
      </c>
    </row>
    <row r="48" spans="1:24" x14ac:dyDescent="0.2">
      <c r="A48" s="35" t="s">
        <v>85</v>
      </c>
      <c r="B48" s="34">
        <v>0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14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2">
        <f t="shared" si="1"/>
        <v>14</v>
      </c>
    </row>
    <row r="49" spans="1:24" x14ac:dyDescent="0.2">
      <c r="A49" s="35" t="s">
        <v>122</v>
      </c>
      <c r="B49" s="34">
        <v>0</v>
      </c>
      <c r="C49" s="34">
        <v>0</v>
      </c>
      <c r="D49" s="34">
        <v>3</v>
      </c>
      <c r="E49" s="34">
        <v>0</v>
      </c>
      <c r="F49" s="34">
        <v>0</v>
      </c>
      <c r="G49" s="34">
        <v>0</v>
      </c>
      <c r="H49" s="34">
        <v>0</v>
      </c>
      <c r="I49" s="34">
        <v>10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2">
        <f t="shared" si="1"/>
        <v>13</v>
      </c>
    </row>
    <row r="50" spans="1:24" x14ac:dyDescent="0.2">
      <c r="A50" s="35" t="s">
        <v>256</v>
      </c>
      <c r="B50" s="34">
        <v>0</v>
      </c>
      <c r="C50" s="34">
        <v>2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10</v>
      </c>
      <c r="V50" s="34">
        <v>0</v>
      </c>
      <c r="W50" s="34">
        <v>0</v>
      </c>
      <c r="X50" s="2">
        <f t="shared" si="1"/>
        <v>12</v>
      </c>
    </row>
    <row r="51" spans="1:24" x14ac:dyDescent="0.2">
      <c r="A51" s="35" t="s">
        <v>34</v>
      </c>
      <c r="B51" s="34">
        <v>7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5</v>
      </c>
      <c r="W51" s="34">
        <v>0</v>
      </c>
      <c r="X51" s="2">
        <f t="shared" si="1"/>
        <v>12</v>
      </c>
    </row>
    <row r="52" spans="1:24" x14ac:dyDescent="0.2">
      <c r="A52" s="35" t="s">
        <v>117</v>
      </c>
      <c r="B52" s="34">
        <v>0</v>
      </c>
      <c r="C52" s="34">
        <v>0</v>
      </c>
      <c r="D52" s="34">
        <v>0</v>
      </c>
      <c r="E52" s="34">
        <v>0</v>
      </c>
      <c r="F52" s="34">
        <v>10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2">
        <f t="shared" si="1"/>
        <v>10</v>
      </c>
    </row>
    <row r="53" spans="1:24" x14ac:dyDescent="0.2">
      <c r="A53" s="35" t="s">
        <v>114</v>
      </c>
      <c r="B53" s="34">
        <v>0</v>
      </c>
      <c r="C53" s="34">
        <v>0</v>
      </c>
      <c r="D53" s="34">
        <v>0</v>
      </c>
      <c r="E53" s="34">
        <v>0</v>
      </c>
      <c r="F53" s="34">
        <v>0</v>
      </c>
      <c r="G53" s="34">
        <v>10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2">
        <f t="shared" si="1"/>
        <v>10</v>
      </c>
    </row>
    <row r="54" spans="1:24" x14ac:dyDescent="0.2">
      <c r="A54" s="35" t="s">
        <v>242</v>
      </c>
      <c r="B54" s="34">
        <v>0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10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2">
        <f t="shared" si="1"/>
        <v>10</v>
      </c>
    </row>
    <row r="55" spans="1:24" x14ac:dyDescent="0.2">
      <c r="A55" s="35" t="s">
        <v>113</v>
      </c>
      <c r="B55" s="34">
        <v>0</v>
      </c>
      <c r="C55" s="34">
        <v>0</v>
      </c>
      <c r="D55" s="34">
        <v>1</v>
      </c>
      <c r="E55" s="34">
        <v>0</v>
      </c>
      <c r="F55" s="34">
        <v>0</v>
      </c>
      <c r="G55" s="34">
        <v>0</v>
      </c>
      <c r="H55" s="34">
        <v>0</v>
      </c>
      <c r="I55" s="34">
        <v>3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5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2">
        <f t="shared" si="1"/>
        <v>9</v>
      </c>
    </row>
    <row r="56" spans="1:24" x14ac:dyDescent="0.2">
      <c r="A56" s="35" t="s">
        <v>206</v>
      </c>
      <c r="B56" s="34">
        <v>0</v>
      </c>
      <c r="C56" s="34">
        <v>0</v>
      </c>
      <c r="D56" s="34">
        <v>0</v>
      </c>
      <c r="E56" s="34">
        <v>0</v>
      </c>
      <c r="F56" s="34">
        <v>2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7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2">
        <f t="shared" si="1"/>
        <v>9</v>
      </c>
    </row>
    <row r="57" spans="1:24" x14ac:dyDescent="0.2">
      <c r="A57" s="35" t="s">
        <v>102</v>
      </c>
      <c r="B57" s="34">
        <v>0</v>
      </c>
      <c r="C57" s="34">
        <v>0</v>
      </c>
      <c r="D57" s="34">
        <v>0</v>
      </c>
      <c r="E57" s="34">
        <v>5</v>
      </c>
      <c r="F57" s="34">
        <v>3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2">
        <f t="shared" si="1"/>
        <v>8</v>
      </c>
    </row>
    <row r="58" spans="1:24" x14ac:dyDescent="0.2">
      <c r="A58" s="35" t="s">
        <v>253</v>
      </c>
      <c r="B58" s="34">
        <v>0</v>
      </c>
      <c r="C58" s="34">
        <v>0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7</v>
      </c>
      <c r="T58" s="34">
        <v>0</v>
      </c>
      <c r="U58" s="34">
        <v>0</v>
      </c>
      <c r="V58" s="34">
        <v>0</v>
      </c>
      <c r="W58" s="34">
        <v>0</v>
      </c>
      <c r="X58" s="2">
        <f t="shared" si="1"/>
        <v>7</v>
      </c>
    </row>
    <row r="59" spans="1:24" x14ac:dyDescent="0.2">
      <c r="A59" s="35" t="s">
        <v>249</v>
      </c>
      <c r="B59" s="34">
        <v>5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2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2">
        <f t="shared" si="1"/>
        <v>7</v>
      </c>
    </row>
    <row r="60" spans="1:24" x14ac:dyDescent="0.2">
      <c r="A60" s="35" t="s">
        <v>240</v>
      </c>
      <c r="B60" s="34">
        <v>0</v>
      </c>
      <c r="C60" s="34">
        <v>0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3</v>
      </c>
      <c r="O60" s="34">
        <v>0</v>
      </c>
      <c r="P60" s="34">
        <v>0</v>
      </c>
      <c r="Q60" s="34">
        <v>0</v>
      </c>
      <c r="R60" s="34">
        <v>0</v>
      </c>
      <c r="S60" s="34">
        <v>3</v>
      </c>
      <c r="T60" s="34">
        <v>0</v>
      </c>
      <c r="U60" s="34">
        <v>0</v>
      </c>
      <c r="V60" s="34">
        <v>0</v>
      </c>
      <c r="W60" s="34">
        <v>0</v>
      </c>
      <c r="X60" s="2">
        <f t="shared" si="1"/>
        <v>6</v>
      </c>
    </row>
    <row r="61" spans="1:24" x14ac:dyDescent="0.2">
      <c r="A61" s="35" t="s">
        <v>125</v>
      </c>
      <c r="B61" s="34">
        <v>0</v>
      </c>
      <c r="C61" s="34">
        <v>0</v>
      </c>
      <c r="D61" s="34">
        <v>0</v>
      </c>
      <c r="E61" s="34">
        <v>0</v>
      </c>
      <c r="F61" s="34">
        <v>0</v>
      </c>
      <c r="G61" s="34">
        <v>0</v>
      </c>
      <c r="H61" s="34">
        <v>3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3</v>
      </c>
      <c r="X61" s="2">
        <f t="shared" si="1"/>
        <v>6</v>
      </c>
    </row>
    <row r="62" spans="1:24" x14ac:dyDescent="0.2">
      <c r="A62" s="35" t="s">
        <v>225</v>
      </c>
      <c r="B62" s="34">
        <v>0</v>
      </c>
      <c r="C62" s="34">
        <v>0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4</v>
      </c>
      <c r="Q62" s="34">
        <v>0</v>
      </c>
      <c r="R62" s="34">
        <v>1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2">
        <f t="shared" si="1"/>
        <v>5</v>
      </c>
    </row>
    <row r="63" spans="1:24" x14ac:dyDescent="0.2">
      <c r="A63" s="35" t="s">
        <v>247</v>
      </c>
      <c r="B63" s="34">
        <v>0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5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2">
        <f t="shared" si="1"/>
        <v>5</v>
      </c>
    </row>
    <row r="64" spans="1:24" x14ac:dyDescent="0.2">
      <c r="A64" s="35" t="s">
        <v>259</v>
      </c>
      <c r="B64" s="34">
        <v>0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5</v>
      </c>
      <c r="V64" s="34">
        <v>0</v>
      </c>
      <c r="W64" s="34">
        <v>0</v>
      </c>
      <c r="X64" s="2">
        <f t="shared" si="1"/>
        <v>5</v>
      </c>
    </row>
    <row r="65" spans="1:24" x14ac:dyDescent="0.2">
      <c r="A65" s="35" t="s">
        <v>145</v>
      </c>
      <c r="B65" s="34">
        <v>0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5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2">
        <f t="shared" si="1"/>
        <v>5</v>
      </c>
    </row>
    <row r="66" spans="1:24" x14ac:dyDescent="0.2">
      <c r="A66" s="35" t="s">
        <v>116</v>
      </c>
      <c r="B66" s="34">
        <v>0</v>
      </c>
      <c r="C66" s="34">
        <v>0</v>
      </c>
      <c r="D66" s="34">
        <v>0</v>
      </c>
      <c r="E66" s="34">
        <v>0</v>
      </c>
      <c r="F66" s="34">
        <v>0</v>
      </c>
      <c r="G66" s="34">
        <v>5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2">
        <f t="shared" ref="X66:X97" si="2">SUM(B66:W66)</f>
        <v>5</v>
      </c>
    </row>
    <row r="67" spans="1:24" x14ac:dyDescent="0.2">
      <c r="A67" s="35" t="s">
        <v>96</v>
      </c>
      <c r="B67" s="34">
        <v>0</v>
      </c>
      <c r="C67" s="34">
        <v>0</v>
      </c>
      <c r="D67" s="34">
        <v>0</v>
      </c>
      <c r="E67" s="34">
        <v>0</v>
      </c>
      <c r="F67" s="34">
        <v>0</v>
      </c>
      <c r="G67" s="34">
        <v>4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2">
        <f t="shared" si="2"/>
        <v>4</v>
      </c>
    </row>
    <row r="68" spans="1:24" x14ac:dyDescent="0.2">
      <c r="A68" s="35" t="s">
        <v>245</v>
      </c>
      <c r="B68" s="34">
        <v>0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4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2">
        <f t="shared" si="2"/>
        <v>4</v>
      </c>
    </row>
    <row r="69" spans="1:24" x14ac:dyDescent="0.2">
      <c r="A69" s="35" t="s">
        <v>93</v>
      </c>
      <c r="B69" s="34">
        <v>0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4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2">
        <f t="shared" si="2"/>
        <v>4</v>
      </c>
    </row>
    <row r="70" spans="1:24" x14ac:dyDescent="0.2">
      <c r="A70" s="35" t="s">
        <v>216</v>
      </c>
      <c r="B70" s="34">
        <v>0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4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2">
        <f t="shared" si="2"/>
        <v>4</v>
      </c>
    </row>
    <row r="71" spans="1:24" x14ac:dyDescent="0.2">
      <c r="A71" s="35" t="s">
        <v>209</v>
      </c>
      <c r="B71" s="34">
        <v>0</v>
      </c>
      <c r="C71" s="34">
        <v>4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2">
        <f t="shared" si="2"/>
        <v>4</v>
      </c>
    </row>
    <row r="72" spans="1:24" x14ac:dyDescent="0.2">
      <c r="A72" s="35" t="s">
        <v>141</v>
      </c>
      <c r="B72" s="34">
        <v>0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4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2">
        <f t="shared" si="2"/>
        <v>4</v>
      </c>
    </row>
    <row r="73" spans="1:24" x14ac:dyDescent="0.2">
      <c r="A73" s="35" t="s">
        <v>231</v>
      </c>
      <c r="B73" s="34">
        <v>0</v>
      </c>
      <c r="C73" s="34">
        <v>0</v>
      </c>
      <c r="D73" s="34">
        <v>0</v>
      </c>
      <c r="E73" s="34">
        <v>0</v>
      </c>
      <c r="F73" s="34">
        <v>4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  <c r="X73" s="2">
        <f t="shared" si="2"/>
        <v>4</v>
      </c>
    </row>
    <row r="74" spans="1:24" x14ac:dyDescent="0.2">
      <c r="A74" s="35" t="s">
        <v>120</v>
      </c>
      <c r="B74" s="34">
        <v>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2">
        <f t="shared" si="2"/>
        <v>3</v>
      </c>
    </row>
    <row r="75" spans="1:24" x14ac:dyDescent="0.2">
      <c r="A75" s="35" t="s">
        <v>233</v>
      </c>
      <c r="B75" s="34">
        <v>3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  <c r="X75" s="2">
        <f t="shared" si="2"/>
        <v>3</v>
      </c>
    </row>
    <row r="76" spans="1:24" x14ac:dyDescent="0.2">
      <c r="A76" s="35" t="s">
        <v>170</v>
      </c>
      <c r="B76" s="34">
        <v>0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1</v>
      </c>
      <c r="J76" s="34">
        <v>2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2">
        <f t="shared" si="2"/>
        <v>3</v>
      </c>
    </row>
    <row r="77" spans="1:24" x14ac:dyDescent="0.2">
      <c r="A77" s="35" t="s">
        <v>188</v>
      </c>
      <c r="B77" s="34">
        <v>0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3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  <c r="X77" s="2">
        <f t="shared" si="2"/>
        <v>3</v>
      </c>
    </row>
    <row r="78" spans="1:24" x14ac:dyDescent="0.2">
      <c r="A78" s="35" t="s">
        <v>179</v>
      </c>
      <c r="B78" s="34">
        <v>0</v>
      </c>
      <c r="C78" s="34">
        <v>0</v>
      </c>
      <c r="D78" s="34">
        <v>0</v>
      </c>
      <c r="E78" s="34">
        <v>2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0</v>
      </c>
      <c r="X78" s="2">
        <f t="shared" si="2"/>
        <v>2</v>
      </c>
    </row>
    <row r="79" spans="1:24" x14ac:dyDescent="0.2">
      <c r="A79" s="35" t="s">
        <v>205</v>
      </c>
      <c r="B79" s="34">
        <v>2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  <c r="X79" s="2">
        <f t="shared" si="2"/>
        <v>2</v>
      </c>
    </row>
    <row r="80" spans="1:24" x14ac:dyDescent="0.2">
      <c r="A80" s="35" t="s">
        <v>211</v>
      </c>
      <c r="B80" s="34">
        <v>0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2</v>
      </c>
      <c r="X80" s="2">
        <f t="shared" si="2"/>
        <v>2</v>
      </c>
    </row>
    <row r="81" spans="1:24" x14ac:dyDescent="0.2">
      <c r="A81" s="35" t="s">
        <v>220</v>
      </c>
      <c r="B81" s="34">
        <v>0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2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2">
        <f t="shared" si="2"/>
        <v>2</v>
      </c>
    </row>
    <row r="82" spans="1:24" x14ac:dyDescent="0.2">
      <c r="A82" s="35" t="s">
        <v>105</v>
      </c>
      <c r="B82" s="34">
        <v>0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2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  <c r="X82" s="2">
        <f t="shared" si="2"/>
        <v>2</v>
      </c>
    </row>
    <row r="83" spans="1:24" x14ac:dyDescent="0.2">
      <c r="A83" s="35" t="s">
        <v>115</v>
      </c>
      <c r="B83" s="34">
        <v>0</v>
      </c>
      <c r="C83" s="34">
        <v>0</v>
      </c>
      <c r="D83" s="34">
        <v>2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2">
        <f t="shared" si="2"/>
        <v>2</v>
      </c>
    </row>
    <row r="84" spans="1:24" x14ac:dyDescent="0.2">
      <c r="A84" s="35" t="s">
        <v>234</v>
      </c>
      <c r="B84" s="34">
        <v>0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2</v>
      </c>
      <c r="W84" s="34">
        <v>0</v>
      </c>
      <c r="X84" s="2">
        <f t="shared" si="2"/>
        <v>2</v>
      </c>
    </row>
    <row r="85" spans="1:24" x14ac:dyDescent="0.2">
      <c r="A85" s="35" t="s">
        <v>246</v>
      </c>
      <c r="B85" s="34">
        <v>1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2">
        <f t="shared" si="2"/>
        <v>1</v>
      </c>
    </row>
    <row r="86" spans="1:24" x14ac:dyDescent="0.2">
      <c r="A86" s="35" t="s">
        <v>195</v>
      </c>
      <c r="B86" s="34">
        <v>0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1</v>
      </c>
      <c r="T86" s="34">
        <v>0</v>
      </c>
      <c r="U86" s="34">
        <v>0</v>
      </c>
      <c r="V86" s="34">
        <v>0</v>
      </c>
      <c r="W86" s="34">
        <v>0</v>
      </c>
      <c r="X86" s="2">
        <f t="shared" si="2"/>
        <v>1</v>
      </c>
    </row>
    <row r="87" spans="1:24" x14ac:dyDescent="0.2">
      <c r="A87" s="35" t="s">
        <v>197</v>
      </c>
      <c r="B87" s="34">
        <v>0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1</v>
      </c>
      <c r="V87" s="34">
        <v>0</v>
      </c>
      <c r="W87" s="34">
        <v>0</v>
      </c>
      <c r="X87" s="2">
        <f t="shared" si="2"/>
        <v>1</v>
      </c>
    </row>
    <row r="88" spans="1:24" x14ac:dyDescent="0.2">
      <c r="A88" s="35" t="s">
        <v>210</v>
      </c>
      <c r="B88" s="34">
        <v>0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1</v>
      </c>
      <c r="W88" s="34">
        <v>0</v>
      </c>
      <c r="X88" s="2">
        <f t="shared" si="2"/>
        <v>1</v>
      </c>
    </row>
    <row r="89" spans="1:24" x14ac:dyDescent="0.2">
      <c r="A89" s="35" t="s">
        <v>139</v>
      </c>
      <c r="B89" s="34">
        <v>0</v>
      </c>
      <c r="C89" s="34">
        <v>0</v>
      </c>
      <c r="D89" s="34">
        <v>0</v>
      </c>
      <c r="E89" s="34">
        <v>0</v>
      </c>
      <c r="F89" s="34">
        <v>1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  <c r="X89" s="2">
        <f t="shared" si="2"/>
        <v>1</v>
      </c>
    </row>
    <row r="90" spans="1:24" x14ac:dyDescent="0.2">
      <c r="A90" s="35" t="s">
        <v>230</v>
      </c>
      <c r="B90" s="34">
        <v>0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1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34">
        <v>0</v>
      </c>
      <c r="W90" s="34">
        <v>0</v>
      </c>
      <c r="X90" s="2">
        <f t="shared" si="2"/>
        <v>1</v>
      </c>
    </row>
    <row r="91" spans="1:24" x14ac:dyDescent="0.2">
      <c r="A91" s="35" t="s">
        <v>180</v>
      </c>
      <c r="B91" s="34">
        <v>0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1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  <c r="X91" s="2">
        <f t="shared" si="2"/>
        <v>1</v>
      </c>
    </row>
    <row r="92" spans="1:24" x14ac:dyDescent="0.2">
      <c r="A92" s="35" t="s">
        <v>123</v>
      </c>
      <c r="B92" s="34">
        <v>0</v>
      </c>
      <c r="C92" s="34">
        <v>1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2">
        <f t="shared" si="2"/>
        <v>1</v>
      </c>
    </row>
    <row r="93" spans="1:24" x14ac:dyDescent="0.2">
      <c r="A93" s="35" t="s">
        <v>219</v>
      </c>
      <c r="B93" s="34">
        <v>0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  <c r="X93" s="2">
        <f t="shared" si="2"/>
        <v>0</v>
      </c>
    </row>
    <row r="94" spans="1:24" x14ac:dyDescent="0.2">
      <c r="A94" s="35" t="s">
        <v>151</v>
      </c>
      <c r="B94" s="34">
        <v>0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  <c r="X94" s="2">
        <f t="shared" si="2"/>
        <v>0</v>
      </c>
    </row>
    <row r="95" spans="1:24" x14ac:dyDescent="0.2">
      <c r="A95" s="35" t="s">
        <v>128</v>
      </c>
      <c r="B95" s="34">
        <v>0</v>
      </c>
      <c r="C95" s="34">
        <v>0</v>
      </c>
      <c r="D95" s="34">
        <v>0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  <c r="X95" s="2">
        <f t="shared" si="2"/>
        <v>0</v>
      </c>
    </row>
    <row r="96" spans="1:24" x14ac:dyDescent="0.2">
      <c r="A96" s="35" t="s">
        <v>129</v>
      </c>
      <c r="B96" s="34">
        <v>0</v>
      </c>
      <c r="C96" s="34">
        <v>0</v>
      </c>
      <c r="D96" s="34">
        <v>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2">
        <f t="shared" si="2"/>
        <v>0</v>
      </c>
    </row>
    <row r="97" spans="1:24" x14ac:dyDescent="0.2">
      <c r="A97" s="35" t="s">
        <v>174</v>
      </c>
      <c r="B97" s="34">
        <v>0</v>
      </c>
      <c r="C97" s="34">
        <v>0</v>
      </c>
      <c r="D97" s="34">
        <v>0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2">
        <f t="shared" si="2"/>
        <v>0</v>
      </c>
    </row>
    <row r="98" spans="1:24" x14ac:dyDescent="0.2">
      <c r="A98" s="35" t="s">
        <v>243</v>
      </c>
      <c r="B98" s="34">
        <v>0</v>
      </c>
      <c r="C98" s="34">
        <v>0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2">
        <f t="shared" ref="X98:X129" si="3">SUM(B98:W98)</f>
        <v>0</v>
      </c>
    </row>
    <row r="99" spans="1:24" x14ac:dyDescent="0.2">
      <c r="A99" s="35" t="s">
        <v>106</v>
      </c>
      <c r="B99" s="34">
        <v>0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2">
        <f t="shared" si="3"/>
        <v>0</v>
      </c>
    </row>
    <row r="100" spans="1:24" x14ac:dyDescent="0.2">
      <c r="A100" s="35" t="s">
        <v>152</v>
      </c>
      <c r="B100" s="34">
        <v>0</v>
      </c>
      <c r="C100" s="34">
        <v>0</v>
      </c>
      <c r="D100" s="34">
        <v>0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  <c r="X100" s="2">
        <f t="shared" si="3"/>
        <v>0</v>
      </c>
    </row>
    <row r="101" spans="1:24" x14ac:dyDescent="0.2">
      <c r="A101" s="35" t="s">
        <v>148</v>
      </c>
      <c r="B101" s="34">
        <v>0</v>
      </c>
      <c r="C101" s="34">
        <v>0</v>
      </c>
      <c r="D101" s="34">
        <v>0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  <c r="X101" s="2">
        <f t="shared" si="3"/>
        <v>0</v>
      </c>
    </row>
    <row r="102" spans="1:24" x14ac:dyDescent="0.2">
      <c r="A102" s="35" t="s">
        <v>133</v>
      </c>
      <c r="B102" s="34">
        <v>0</v>
      </c>
      <c r="C102" s="34">
        <v>0</v>
      </c>
      <c r="D102" s="34">
        <v>0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2">
        <f t="shared" si="3"/>
        <v>0</v>
      </c>
    </row>
    <row r="103" spans="1:24" x14ac:dyDescent="0.2">
      <c r="A103" s="35" t="s">
        <v>110</v>
      </c>
      <c r="B103" s="34">
        <v>0</v>
      </c>
      <c r="C103" s="34">
        <v>0</v>
      </c>
      <c r="D103" s="34">
        <v>0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  <c r="X103" s="2">
        <f t="shared" si="3"/>
        <v>0</v>
      </c>
    </row>
    <row r="104" spans="1:24" x14ac:dyDescent="0.2">
      <c r="A104" s="35" t="s">
        <v>201</v>
      </c>
      <c r="B104" s="34">
        <v>0</v>
      </c>
      <c r="C104" s="34">
        <v>0</v>
      </c>
      <c r="D104" s="34">
        <v>0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  <c r="X104" s="2">
        <f t="shared" si="3"/>
        <v>0</v>
      </c>
    </row>
    <row r="105" spans="1:24" x14ac:dyDescent="0.2">
      <c r="A105" s="35" t="s">
        <v>224</v>
      </c>
      <c r="B105" s="34">
        <v>0</v>
      </c>
      <c r="C105" s="34">
        <v>0</v>
      </c>
      <c r="D105" s="34">
        <v>0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  <c r="X105" s="2">
        <f t="shared" si="3"/>
        <v>0</v>
      </c>
    </row>
    <row r="106" spans="1:24" x14ac:dyDescent="0.2">
      <c r="A106" s="35" t="s">
        <v>178</v>
      </c>
      <c r="B106" s="34">
        <v>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2">
        <f t="shared" si="3"/>
        <v>0</v>
      </c>
    </row>
    <row r="107" spans="1:24" x14ac:dyDescent="0.2">
      <c r="A107" s="35" t="s">
        <v>200</v>
      </c>
      <c r="B107" s="34">
        <v>0</v>
      </c>
      <c r="C107" s="34">
        <v>0</v>
      </c>
      <c r="D107" s="34">
        <v>0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0</v>
      </c>
      <c r="U107" s="34">
        <v>0</v>
      </c>
      <c r="V107" s="34">
        <v>0</v>
      </c>
      <c r="W107" s="34">
        <v>0</v>
      </c>
      <c r="X107" s="2">
        <f t="shared" si="3"/>
        <v>0</v>
      </c>
    </row>
    <row r="108" spans="1:24" x14ac:dyDescent="0.2">
      <c r="A108" s="35" t="s">
        <v>223</v>
      </c>
      <c r="B108" s="34">
        <v>0</v>
      </c>
      <c r="C108" s="34">
        <v>0</v>
      </c>
      <c r="D108" s="34">
        <v>0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  <c r="X108" s="2">
        <f t="shared" si="3"/>
        <v>0</v>
      </c>
    </row>
    <row r="109" spans="1:24" x14ac:dyDescent="0.2">
      <c r="A109" s="35" t="s">
        <v>155</v>
      </c>
      <c r="B109" s="34">
        <v>0</v>
      </c>
      <c r="C109" s="34">
        <v>0</v>
      </c>
      <c r="D109" s="34">
        <v>0</v>
      </c>
      <c r="E109" s="34">
        <v>0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2">
        <f t="shared" si="3"/>
        <v>0</v>
      </c>
    </row>
    <row r="110" spans="1:24" x14ac:dyDescent="0.2">
      <c r="A110" s="35" t="s">
        <v>153</v>
      </c>
      <c r="B110" s="34">
        <v>0</v>
      </c>
      <c r="C110" s="34">
        <v>0</v>
      </c>
      <c r="D110" s="34">
        <v>0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  <c r="X110" s="2">
        <f t="shared" si="3"/>
        <v>0</v>
      </c>
    </row>
    <row r="111" spans="1:24" x14ac:dyDescent="0.2">
      <c r="A111" s="35" t="s">
        <v>130</v>
      </c>
      <c r="B111" s="34">
        <v>0</v>
      </c>
      <c r="C111" s="34">
        <v>0</v>
      </c>
      <c r="D111" s="34">
        <v>0</v>
      </c>
      <c r="E111" s="34">
        <v>0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34">
        <v>0</v>
      </c>
      <c r="W111" s="34">
        <v>0</v>
      </c>
      <c r="X111" s="2">
        <f t="shared" si="3"/>
        <v>0</v>
      </c>
    </row>
    <row r="112" spans="1:24" x14ac:dyDescent="0.2">
      <c r="A112" s="35" t="s">
        <v>221</v>
      </c>
      <c r="B112" s="34">
        <v>0</v>
      </c>
      <c r="C112" s="34">
        <v>0</v>
      </c>
      <c r="D112" s="34">
        <v>0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2">
        <f t="shared" si="3"/>
        <v>0</v>
      </c>
    </row>
    <row r="113" spans="1:24" x14ac:dyDescent="0.2">
      <c r="A113" s="35" t="s">
        <v>244</v>
      </c>
      <c r="B113" s="34">
        <v>0</v>
      </c>
      <c r="C113" s="34">
        <v>0</v>
      </c>
      <c r="D113" s="34">
        <v>0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4">
        <v>0</v>
      </c>
      <c r="W113" s="34">
        <v>0</v>
      </c>
      <c r="X113" s="2">
        <f t="shared" si="3"/>
        <v>0</v>
      </c>
    </row>
    <row r="114" spans="1:24" x14ac:dyDescent="0.2">
      <c r="A114" s="35" t="s">
        <v>222</v>
      </c>
      <c r="B114" s="34">
        <v>0</v>
      </c>
      <c r="C114" s="34">
        <v>0</v>
      </c>
      <c r="D114" s="34">
        <v>0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  <c r="X114" s="2">
        <f t="shared" si="3"/>
        <v>0</v>
      </c>
    </row>
    <row r="115" spans="1:24" x14ac:dyDescent="0.2">
      <c r="A115" s="35" t="s">
        <v>86</v>
      </c>
      <c r="B115" s="34">
        <v>0</v>
      </c>
      <c r="C115" s="34">
        <v>0</v>
      </c>
      <c r="D115" s="34">
        <v>0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0</v>
      </c>
      <c r="V115" s="34">
        <v>0</v>
      </c>
      <c r="W115" s="34">
        <v>0</v>
      </c>
      <c r="X115" s="2">
        <f t="shared" si="3"/>
        <v>0</v>
      </c>
    </row>
    <row r="116" spans="1:24" x14ac:dyDescent="0.2">
      <c r="A116" s="35" t="s">
        <v>131</v>
      </c>
      <c r="B116" s="34">
        <v>0</v>
      </c>
      <c r="C116" s="34">
        <v>0</v>
      </c>
      <c r="D116" s="34">
        <v>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4">
        <v>0</v>
      </c>
      <c r="U116" s="34">
        <v>0</v>
      </c>
      <c r="V116" s="34">
        <v>0</v>
      </c>
      <c r="W116" s="34">
        <v>0</v>
      </c>
      <c r="X116" s="2">
        <f t="shared" si="3"/>
        <v>0</v>
      </c>
    </row>
    <row r="117" spans="1:24" x14ac:dyDescent="0.2">
      <c r="A117" s="35" t="s">
        <v>154</v>
      </c>
      <c r="B117" s="34">
        <v>0</v>
      </c>
      <c r="C117" s="34">
        <v>0</v>
      </c>
      <c r="D117" s="34">
        <v>0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34">
        <v>0</v>
      </c>
      <c r="W117" s="34">
        <v>0</v>
      </c>
      <c r="X117" s="2">
        <f t="shared" si="3"/>
        <v>0</v>
      </c>
    </row>
    <row r="118" spans="1:24" x14ac:dyDescent="0.2">
      <c r="A118" s="35" t="s">
        <v>198</v>
      </c>
      <c r="B118" s="34">
        <v>0</v>
      </c>
      <c r="C118" s="34">
        <v>0</v>
      </c>
      <c r="D118" s="34">
        <v>0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4">
        <v>0</v>
      </c>
      <c r="U118" s="34">
        <v>0</v>
      </c>
      <c r="V118" s="34">
        <v>0</v>
      </c>
      <c r="W118" s="34">
        <v>0</v>
      </c>
      <c r="X118" s="2">
        <f t="shared" si="3"/>
        <v>0</v>
      </c>
    </row>
    <row r="119" spans="1:24" x14ac:dyDescent="0.2">
      <c r="A119" s="35" t="s">
        <v>175</v>
      </c>
      <c r="B119" s="34">
        <v>0</v>
      </c>
      <c r="C119" s="34">
        <v>0</v>
      </c>
      <c r="D119" s="34">
        <v>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  <c r="X119" s="2">
        <f t="shared" si="3"/>
        <v>0</v>
      </c>
    </row>
    <row r="120" spans="1:24" x14ac:dyDescent="0.2">
      <c r="A120" s="35" t="s">
        <v>196</v>
      </c>
      <c r="B120" s="34">
        <v>0</v>
      </c>
      <c r="C120" s="34">
        <v>0</v>
      </c>
      <c r="D120" s="34">
        <v>0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4">
        <v>0</v>
      </c>
      <c r="U120" s="34">
        <v>0</v>
      </c>
      <c r="V120" s="34">
        <v>0</v>
      </c>
      <c r="W120" s="34">
        <v>0</v>
      </c>
      <c r="X120" s="2">
        <f t="shared" si="3"/>
        <v>0</v>
      </c>
    </row>
    <row r="121" spans="1:24" x14ac:dyDescent="0.2">
      <c r="A121" s="35" t="s">
        <v>126</v>
      </c>
      <c r="B121" s="34">
        <v>0</v>
      </c>
      <c r="C121" s="34">
        <v>0</v>
      </c>
      <c r="D121" s="34">
        <v>0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4">
        <v>0</v>
      </c>
      <c r="U121" s="34">
        <v>0</v>
      </c>
      <c r="V121" s="34">
        <v>0</v>
      </c>
      <c r="W121" s="34">
        <v>0</v>
      </c>
      <c r="X121" s="2">
        <f t="shared" si="3"/>
        <v>0</v>
      </c>
    </row>
    <row r="122" spans="1:24" x14ac:dyDescent="0.2">
      <c r="A122" s="35" t="s">
        <v>104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4">
        <v>0</v>
      </c>
      <c r="U122" s="34">
        <v>0</v>
      </c>
      <c r="V122" s="34">
        <v>0</v>
      </c>
      <c r="W122" s="34">
        <v>0</v>
      </c>
      <c r="X122" s="2">
        <f t="shared" si="3"/>
        <v>0</v>
      </c>
    </row>
    <row r="123" spans="1:24" x14ac:dyDescent="0.2">
      <c r="A123" s="35" t="s">
        <v>194</v>
      </c>
      <c r="B123" s="34">
        <v>0</v>
      </c>
      <c r="C123" s="34">
        <v>0</v>
      </c>
      <c r="D123" s="34">
        <v>0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4">
        <v>0</v>
      </c>
      <c r="U123" s="34">
        <v>0</v>
      </c>
      <c r="V123" s="34">
        <v>0</v>
      </c>
      <c r="W123" s="34">
        <v>0</v>
      </c>
      <c r="X123" s="2">
        <f t="shared" si="3"/>
        <v>0</v>
      </c>
    </row>
    <row r="124" spans="1:24" x14ac:dyDescent="0.2">
      <c r="A124" s="35" t="s">
        <v>171</v>
      </c>
      <c r="B124" s="34">
        <v>0</v>
      </c>
      <c r="C124" s="34">
        <v>0</v>
      </c>
      <c r="D124" s="34">
        <v>0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2">
        <f t="shared" si="3"/>
        <v>0</v>
      </c>
    </row>
    <row r="125" spans="1:24" x14ac:dyDescent="0.2">
      <c r="A125" s="35" t="s">
        <v>136</v>
      </c>
      <c r="B125" s="34">
        <v>0</v>
      </c>
      <c r="C125" s="34">
        <v>0</v>
      </c>
      <c r="D125" s="34">
        <v>0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  <c r="X125" s="2">
        <f t="shared" si="3"/>
        <v>0</v>
      </c>
    </row>
    <row r="126" spans="1:24" x14ac:dyDescent="0.2">
      <c r="A126" s="35" t="s">
        <v>160</v>
      </c>
      <c r="B126" s="34">
        <v>0</v>
      </c>
      <c r="C126" s="34">
        <v>0</v>
      </c>
      <c r="D126" s="34">
        <v>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4">
        <v>0</v>
      </c>
      <c r="U126" s="34">
        <v>0</v>
      </c>
      <c r="V126" s="34">
        <v>0</v>
      </c>
      <c r="W126" s="34">
        <v>0</v>
      </c>
      <c r="X126" s="2">
        <f t="shared" si="3"/>
        <v>0</v>
      </c>
    </row>
    <row r="127" spans="1:24" x14ac:dyDescent="0.2">
      <c r="A127" s="35" t="s">
        <v>137</v>
      </c>
      <c r="B127" s="34">
        <v>0</v>
      </c>
      <c r="C127" s="34">
        <v>0</v>
      </c>
      <c r="D127" s="34">
        <v>0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4">
        <v>0</v>
      </c>
      <c r="U127" s="34">
        <v>0</v>
      </c>
      <c r="V127" s="34">
        <v>0</v>
      </c>
      <c r="W127" s="34">
        <v>0</v>
      </c>
      <c r="X127" s="2">
        <f t="shared" si="3"/>
        <v>0</v>
      </c>
    </row>
    <row r="128" spans="1:24" x14ac:dyDescent="0.2">
      <c r="A128" s="35" t="s">
        <v>182</v>
      </c>
      <c r="B128" s="34">
        <v>0</v>
      </c>
      <c r="C128" s="34">
        <v>0</v>
      </c>
      <c r="D128" s="34">
        <v>0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4">
        <v>0</v>
      </c>
      <c r="U128" s="34">
        <v>0</v>
      </c>
      <c r="V128" s="34">
        <v>0</v>
      </c>
      <c r="W128" s="34">
        <v>0</v>
      </c>
      <c r="X128" s="2">
        <f t="shared" si="3"/>
        <v>0</v>
      </c>
    </row>
    <row r="129" spans="1:24" x14ac:dyDescent="0.2">
      <c r="A129" s="35" t="s">
        <v>181</v>
      </c>
      <c r="B129" s="34">
        <v>0</v>
      </c>
      <c r="C129" s="34">
        <v>0</v>
      </c>
      <c r="D129" s="34">
        <v>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4">
        <v>0</v>
      </c>
      <c r="U129" s="34">
        <v>0</v>
      </c>
      <c r="V129" s="34">
        <v>0</v>
      </c>
      <c r="W129" s="34">
        <v>0</v>
      </c>
      <c r="X129" s="2">
        <f t="shared" si="3"/>
        <v>0</v>
      </c>
    </row>
    <row r="130" spans="1:24" x14ac:dyDescent="0.2">
      <c r="A130" s="35" t="s">
        <v>250</v>
      </c>
      <c r="B130" s="34">
        <v>0</v>
      </c>
      <c r="C130" s="34">
        <v>0</v>
      </c>
      <c r="D130" s="34">
        <v>0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v>0</v>
      </c>
      <c r="U130" s="34">
        <v>0</v>
      </c>
      <c r="V130" s="34">
        <v>0</v>
      </c>
      <c r="W130" s="34">
        <v>0</v>
      </c>
      <c r="X130" s="2">
        <f t="shared" ref="X130:X161" si="4">SUM(B130:W130)</f>
        <v>0</v>
      </c>
    </row>
    <row r="131" spans="1:24" x14ac:dyDescent="0.2">
      <c r="A131" s="35" t="s">
        <v>227</v>
      </c>
      <c r="B131" s="34">
        <v>0</v>
      </c>
      <c r="C131" s="34">
        <v>0</v>
      </c>
      <c r="D131" s="34">
        <v>0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4">
        <v>0</v>
      </c>
      <c r="U131" s="34">
        <v>0</v>
      </c>
      <c r="V131" s="34">
        <v>0</v>
      </c>
      <c r="W131" s="34">
        <v>0</v>
      </c>
      <c r="X131" s="2">
        <f t="shared" si="4"/>
        <v>0</v>
      </c>
    </row>
    <row r="132" spans="1:24" x14ac:dyDescent="0.2">
      <c r="A132" s="35" t="s">
        <v>158</v>
      </c>
      <c r="B132" s="34">
        <v>0</v>
      </c>
      <c r="C132" s="34">
        <v>0</v>
      </c>
      <c r="D132" s="34">
        <v>0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2">
        <f t="shared" si="4"/>
        <v>0</v>
      </c>
    </row>
    <row r="133" spans="1:24" x14ac:dyDescent="0.2">
      <c r="A133" s="35" t="s">
        <v>112</v>
      </c>
      <c r="B133" s="34">
        <v>0</v>
      </c>
      <c r="C133" s="34">
        <v>0</v>
      </c>
      <c r="D133" s="34">
        <v>0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  <c r="X133" s="2">
        <f t="shared" si="4"/>
        <v>0</v>
      </c>
    </row>
    <row r="134" spans="1:24" x14ac:dyDescent="0.2">
      <c r="A134" s="35" t="s">
        <v>164</v>
      </c>
      <c r="B134" s="34">
        <v>0</v>
      </c>
      <c r="C134" s="34">
        <v>0</v>
      </c>
      <c r="D134" s="34">
        <v>0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0</v>
      </c>
      <c r="U134" s="34">
        <v>0</v>
      </c>
      <c r="V134" s="34">
        <v>0</v>
      </c>
      <c r="W134" s="34">
        <v>0</v>
      </c>
      <c r="X134" s="2">
        <f t="shared" si="4"/>
        <v>0</v>
      </c>
    </row>
    <row r="135" spans="1:24" x14ac:dyDescent="0.2">
      <c r="A135" s="35" t="s">
        <v>118</v>
      </c>
      <c r="B135" s="34">
        <v>0</v>
      </c>
      <c r="C135" s="34">
        <v>0</v>
      </c>
      <c r="D135" s="34">
        <v>0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0</v>
      </c>
      <c r="X135" s="2">
        <f t="shared" si="4"/>
        <v>0</v>
      </c>
    </row>
    <row r="136" spans="1:24" x14ac:dyDescent="0.2">
      <c r="A136" s="35" t="s">
        <v>95</v>
      </c>
      <c r="B136" s="34">
        <v>0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  <c r="X136" s="2">
        <f t="shared" si="4"/>
        <v>0</v>
      </c>
    </row>
    <row r="137" spans="1:24" x14ac:dyDescent="0.2">
      <c r="A137" s="35" t="s">
        <v>254</v>
      </c>
      <c r="B137" s="34">
        <v>0</v>
      </c>
      <c r="C137" s="34">
        <v>0</v>
      </c>
      <c r="D137" s="34">
        <v>0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4">
        <v>0</v>
      </c>
      <c r="U137" s="34">
        <v>0</v>
      </c>
      <c r="V137" s="34">
        <v>0</v>
      </c>
      <c r="W137" s="34">
        <v>0</v>
      </c>
      <c r="X137" s="2">
        <f t="shared" si="4"/>
        <v>0</v>
      </c>
    </row>
    <row r="138" spans="1:24" x14ac:dyDescent="0.2">
      <c r="A138" s="35" t="s">
        <v>186</v>
      </c>
      <c r="B138" s="34">
        <v>0</v>
      </c>
      <c r="C138" s="34">
        <v>0</v>
      </c>
      <c r="D138" s="34">
        <v>0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4">
        <v>0</v>
      </c>
      <c r="U138" s="34">
        <v>0</v>
      </c>
      <c r="V138" s="34">
        <v>0</v>
      </c>
      <c r="W138" s="34">
        <v>0</v>
      </c>
      <c r="X138" s="2">
        <f t="shared" si="4"/>
        <v>0</v>
      </c>
    </row>
    <row r="139" spans="1:24" x14ac:dyDescent="0.2">
      <c r="A139" s="35" t="s">
        <v>232</v>
      </c>
      <c r="B139" s="34">
        <v>0</v>
      </c>
      <c r="C139" s="34">
        <v>0</v>
      </c>
      <c r="D139" s="34">
        <v>0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0</v>
      </c>
      <c r="V139" s="34">
        <v>0</v>
      </c>
      <c r="W139" s="34">
        <v>0</v>
      </c>
      <c r="X139" s="2">
        <f t="shared" si="4"/>
        <v>0</v>
      </c>
    </row>
    <row r="140" spans="1:24" x14ac:dyDescent="0.2">
      <c r="A140" s="35" t="s">
        <v>140</v>
      </c>
      <c r="B140" s="34">
        <v>0</v>
      </c>
      <c r="C140" s="34">
        <v>0</v>
      </c>
      <c r="D140" s="34">
        <v>0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  <c r="X140" s="2">
        <f t="shared" si="4"/>
        <v>0</v>
      </c>
    </row>
    <row r="141" spans="1:24" x14ac:dyDescent="0.2">
      <c r="A141" s="35" t="s">
        <v>163</v>
      </c>
      <c r="B141" s="34">
        <v>0</v>
      </c>
      <c r="C141" s="34">
        <v>0</v>
      </c>
      <c r="D141" s="34">
        <v>0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v>0</v>
      </c>
      <c r="U141" s="34">
        <v>0</v>
      </c>
      <c r="V141" s="34">
        <v>0</v>
      </c>
      <c r="W141" s="34">
        <v>0</v>
      </c>
      <c r="X141" s="2">
        <f t="shared" si="4"/>
        <v>0</v>
      </c>
    </row>
    <row r="142" spans="1:24" x14ac:dyDescent="0.2">
      <c r="A142" s="35" t="s">
        <v>208</v>
      </c>
      <c r="B142" s="34">
        <v>0</v>
      </c>
      <c r="C142" s="34">
        <v>0</v>
      </c>
      <c r="D142" s="34">
        <v>0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  <c r="X142" s="2">
        <f t="shared" si="4"/>
        <v>0</v>
      </c>
    </row>
    <row r="143" spans="1:24" x14ac:dyDescent="0.2">
      <c r="A143" s="35" t="s">
        <v>185</v>
      </c>
      <c r="B143" s="34">
        <v>0</v>
      </c>
      <c r="C143" s="34">
        <v>0</v>
      </c>
      <c r="D143" s="34">
        <v>0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v>0</v>
      </c>
      <c r="U143" s="34">
        <v>0</v>
      </c>
      <c r="V143" s="34">
        <v>0</v>
      </c>
      <c r="W143" s="34">
        <v>0</v>
      </c>
      <c r="X143" s="2">
        <f t="shared" si="4"/>
        <v>0</v>
      </c>
    </row>
    <row r="144" spans="1:24" x14ac:dyDescent="0.2">
      <c r="A144" s="35" t="s">
        <v>183</v>
      </c>
      <c r="B144" s="34">
        <v>0</v>
      </c>
      <c r="C144" s="34">
        <v>0</v>
      </c>
      <c r="D144" s="34">
        <v>0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4">
        <v>0</v>
      </c>
      <c r="U144" s="34">
        <v>0</v>
      </c>
      <c r="V144" s="34">
        <v>0</v>
      </c>
      <c r="W144" s="34">
        <v>0</v>
      </c>
      <c r="X144" s="2">
        <f t="shared" si="4"/>
        <v>0</v>
      </c>
    </row>
    <row r="145" spans="1:24" x14ac:dyDescent="0.2">
      <c r="A145" s="35" t="s">
        <v>229</v>
      </c>
      <c r="B145" s="34">
        <v>0</v>
      </c>
      <c r="C145" s="34">
        <v>0</v>
      </c>
      <c r="D145" s="34">
        <v>0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4">
        <v>0</v>
      </c>
      <c r="U145" s="34">
        <v>0</v>
      </c>
      <c r="V145" s="34">
        <v>0</v>
      </c>
      <c r="W145" s="34">
        <v>0</v>
      </c>
      <c r="X145" s="2">
        <f t="shared" si="4"/>
        <v>0</v>
      </c>
    </row>
    <row r="146" spans="1:24" x14ac:dyDescent="0.2">
      <c r="A146" s="35" t="s">
        <v>252</v>
      </c>
      <c r="B146" s="34">
        <v>0</v>
      </c>
      <c r="C146" s="34">
        <v>0</v>
      </c>
      <c r="D146" s="34">
        <v>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  <c r="X146" s="2">
        <f t="shared" si="4"/>
        <v>0</v>
      </c>
    </row>
    <row r="147" spans="1:24" x14ac:dyDescent="0.2">
      <c r="A147" s="35" t="s">
        <v>207</v>
      </c>
      <c r="B147" s="34">
        <v>0</v>
      </c>
      <c r="C147" s="34">
        <v>0</v>
      </c>
      <c r="D147" s="34">
        <v>0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  <c r="X147" s="2">
        <f t="shared" si="4"/>
        <v>0</v>
      </c>
    </row>
    <row r="148" spans="1:24" x14ac:dyDescent="0.2">
      <c r="A148" s="35" t="s">
        <v>184</v>
      </c>
      <c r="B148" s="34">
        <v>0</v>
      </c>
      <c r="C148" s="34">
        <v>0</v>
      </c>
      <c r="D148" s="34">
        <v>0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4">
        <v>0</v>
      </c>
      <c r="U148" s="34">
        <v>0</v>
      </c>
      <c r="V148" s="34">
        <v>0</v>
      </c>
      <c r="W148" s="34">
        <v>0</v>
      </c>
      <c r="X148" s="2">
        <f t="shared" si="4"/>
        <v>0</v>
      </c>
    </row>
    <row r="149" spans="1:24" x14ac:dyDescent="0.2">
      <c r="A149" s="35" t="s">
        <v>162</v>
      </c>
      <c r="B149" s="34">
        <v>0</v>
      </c>
      <c r="C149" s="34">
        <v>0</v>
      </c>
      <c r="D149" s="34">
        <v>0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  <c r="X149" s="2">
        <f t="shared" si="4"/>
        <v>0</v>
      </c>
    </row>
    <row r="150" spans="1:24" x14ac:dyDescent="0.2">
      <c r="A150" s="35" t="s">
        <v>138</v>
      </c>
      <c r="B150" s="34">
        <v>0</v>
      </c>
      <c r="C150" s="34">
        <v>0</v>
      </c>
      <c r="D150" s="34">
        <v>0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  <c r="X150" s="2">
        <f t="shared" si="4"/>
        <v>0</v>
      </c>
    </row>
    <row r="151" spans="1:24" x14ac:dyDescent="0.2">
      <c r="A151" s="35" t="s">
        <v>161</v>
      </c>
      <c r="B151" s="34">
        <v>0</v>
      </c>
      <c r="C151" s="34">
        <v>0</v>
      </c>
      <c r="D151" s="34">
        <v>0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  <c r="X151" s="2">
        <f t="shared" si="4"/>
        <v>0</v>
      </c>
    </row>
    <row r="152" spans="1:24" x14ac:dyDescent="0.2">
      <c r="A152" s="35" t="s">
        <v>203</v>
      </c>
      <c r="B152" s="34">
        <v>0</v>
      </c>
      <c r="C152" s="34">
        <v>0</v>
      </c>
      <c r="D152" s="34">
        <v>0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4">
        <v>0</v>
      </c>
      <c r="U152" s="34">
        <v>0</v>
      </c>
      <c r="V152" s="34">
        <v>0</v>
      </c>
      <c r="W152" s="34">
        <v>0</v>
      </c>
      <c r="X152" s="2">
        <f t="shared" si="4"/>
        <v>0</v>
      </c>
    </row>
    <row r="153" spans="1:24" x14ac:dyDescent="0.2">
      <c r="A153" s="35" t="s">
        <v>202</v>
      </c>
      <c r="B153" s="34">
        <v>0</v>
      </c>
      <c r="C153" s="34">
        <v>0</v>
      </c>
      <c r="D153" s="34">
        <v>0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  <c r="X153" s="2">
        <f t="shared" si="4"/>
        <v>0</v>
      </c>
    </row>
    <row r="154" spans="1:24" x14ac:dyDescent="0.2">
      <c r="A154" s="35" t="s">
        <v>248</v>
      </c>
      <c r="B154" s="34">
        <v>0</v>
      </c>
      <c r="C154" s="34">
        <v>0</v>
      </c>
      <c r="D154" s="34">
        <v>0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0</v>
      </c>
      <c r="U154" s="34">
        <v>0</v>
      </c>
      <c r="V154" s="34">
        <v>0</v>
      </c>
      <c r="W154" s="34">
        <v>0</v>
      </c>
      <c r="X154" s="2">
        <f t="shared" si="4"/>
        <v>0</v>
      </c>
    </row>
    <row r="155" spans="1:24" x14ac:dyDescent="0.2">
      <c r="A155" s="35" t="s">
        <v>88</v>
      </c>
      <c r="B155" s="34">
        <v>0</v>
      </c>
      <c r="C155" s="34">
        <v>0</v>
      </c>
      <c r="D155" s="34">
        <v>0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v>0</v>
      </c>
      <c r="U155" s="34">
        <v>0</v>
      </c>
      <c r="V155" s="34">
        <v>0</v>
      </c>
      <c r="W155" s="34">
        <v>0</v>
      </c>
      <c r="X155" s="2">
        <f t="shared" si="4"/>
        <v>0</v>
      </c>
    </row>
    <row r="156" spans="1:24" x14ac:dyDescent="0.2">
      <c r="A156" s="35" t="s">
        <v>111</v>
      </c>
      <c r="B156" s="34">
        <v>0</v>
      </c>
      <c r="C156" s="34">
        <v>0</v>
      </c>
      <c r="D156" s="34">
        <v>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v>0</v>
      </c>
      <c r="U156" s="34">
        <v>0</v>
      </c>
      <c r="V156" s="34">
        <v>0</v>
      </c>
      <c r="W156" s="34">
        <v>0</v>
      </c>
      <c r="X156" s="2">
        <f t="shared" si="4"/>
        <v>0</v>
      </c>
    </row>
    <row r="157" spans="1:24" x14ac:dyDescent="0.2">
      <c r="A157" s="35" t="s">
        <v>134</v>
      </c>
      <c r="B157" s="34">
        <v>0</v>
      </c>
      <c r="C157" s="34">
        <v>0</v>
      </c>
      <c r="D157" s="34">
        <v>0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  <c r="X157" s="2">
        <f t="shared" si="4"/>
        <v>0</v>
      </c>
    </row>
    <row r="158" spans="1:24" x14ac:dyDescent="0.2">
      <c r="A158" s="35" t="s">
        <v>159</v>
      </c>
      <c r="B158" s="34">
        <v>0</v>
      </c>
      <c r="C158" s="34">
        <v>0</v>
      </c>
      <c r="D158" s="34">
        <v>0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v>0</v>
      </c>
      <c r="U158" s="34">
        <v>0</v>
      </c>
      <c r="V158" s="34">
        <v>0</v>
      </c>
      <c r="W158" s="34">
        <v>0</v>
      </c>
      <c r="X158" s="2">
        <f t="shared" si="4"/>
        <v>0</v>
      </c>
    </row>
    <row r="159" spans="1:24" x14ac:dyDescent="0.2">
      <c r="A159" s="35" t="s">
        <v>166</v>
      </c>
      <c r="B159" s="34">
        <v>0</v>
      </c>
      <c r="C159" s="34">
        <v>0</v>
      </c>
      <c r="D159" s="34">
        <v>0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4">
        <v>0</v>
      </c>
      <c r="U159" s="34">
        <v>0</v>
      </c>
      <c r="V159" s="34">
        <v>0</v>
      </c>
      <c r="W159" s="34">
        <v>0</v>
      </c>
      <c r="X159" s="2">
        <f t="shared" si="4"/>
        <v>0</v>
      </c>
    </row>
    <row r="160" spans="1:24" x14ac:dyDescent="0.2">
      <c r="A160" s="35" t="s">
        <v>97</v>
      </c>
      <c r="B160" s="34">
        <v>0</v>
      </c>
      <c r="C160" s="34">
        <v>0</v>
      </c>
      <c r="D160" s="34">
        <v>0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0</v>
      </c>
      <c r="V160" s="34">
        <v>0</v>
      </c>
      <c r="W160" s="34">
        <v>0</v>
      </c>
      <c r="X160" s="2">
        <f t="shared" si="4"/>
        <v>0</v>
      </c>
    </row>
    <row r="161" spans="1:24" x14ac:dyDescent="0.2">
      <c r="A161" s="35" t="s">
        <v>143</v>
      </c>
      <c r="B161" s="34">
        <v>0</v>
      </c>
      <c r="C161" s="34">
        <v>0</v>
      </c>
      <c r="D161" s="34">
        <v>0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4">
        <v>0</v>
      </c>
      <c r="U161" s="34">
        <v>0</v>
      </c>
      <c r="V161" s="34">
        <v>0</v>
      </c>
      <c r="W161" s="34">
        <v>0</v>
      </c>
      <c r="X161" s="2">
        <f t="shared" si="4"/>
        <v>0</v>
      </c>
    </row>
    <row r="162" spans="1:24" x14ac:dyDescent="0.2">
      <c r="A162" s="35" t="s">
        <v>255</v>
      </c>
      <c r="B162" s="34">
        <v>0</v>
      </c>
      <c r="C162" s="34">
        <v>0</v>
      </c>
      <c r="D162" s="34">
        <v>0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4">
        <v>0</v>
      </c>
      <c r="W162" s="34">
        <v>0</v>
      </c>
      <c r="X162" s="2">
        <f t="shared" ref="X162:X193" si="5">SUM(B162:W162)</f>
        <v>0</v>
      </c>
    </row>
    <row r="163" spans="1:24" x14ac:dyDescent="0.2">
      <c r="A163" s="35" t="s">
        <v>187</v>
      </c>
      <c r="B163" s="34">
        <v>0</v>
      </c>
      <c r="C163" s="34">
        <v>0</v>
      </c>
      <c r="D163" s="34">
        <v>0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0</v>
      </c>
      <c r="V163" s="34">
        <v>0</v>
      </c>
      <c r="W163" s="34">
        <v>0</v>
      </c>
      <c r="X163" s="2">
        <f t="shared" si="5"/>
        <v>0</v>
      </c>
    </row>
    <row r="164" spans="1:24" x14ac:dyDescent="0.2">
      <c r="A164" s="35" t="s">
        <v>142</v>
      </c>
      <c r="B164" s="34">
        <v>0</v>
      </c>
      <c r="C164" s="34">
        <v>0</v>
      </c>
      <c r="D164" s="34">
        <v>0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4">
        <v>0</v>
      </c>
      <c r="U164" s="34">
        <v>0</v>
      </c>
      <c r="V164" s="34">
        <v>0</v>
      </c>
      <c r="W164" s="34">
        <v>0</v>
      </c>
      <c r="X164" s="2">
        <f t="shared" si="5"/>
        <v>0</v>
      </c>
    </row>
    <row r="165" spans="1:24" x14ac:dyDescent="0.2">
      <c r="A165" s="35" t="s">
        <v>165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v>0</v>
      </c>
      <c r="U165" s="34">
        <v>0</v>
      </c>
      <c r="V165" s="34">
        <v>0</v>
      </c>
      <c r="W165" s="34">
        <v>0</v>
      </c>
      <c r="X165" s="2">
        <f t="shared" si="5"/>
        <v>0</v>
      </c>
    </row>
    <row r="166" spans="1:24" x14ac:dyDescent="0.2">
      <c r="A166" s="35" t="s">
        <v>168</v>
      </c>
      <c r="B166" s="34">
        <v>0</v>
      </c>
      <c r="C166" s="34">
        <v>0</v>
      </c>
      <c r="D166" s="34">
        <v>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v>0</v>
      </c>
      <c r="U166" s="34">
        <v>0</v>
      </c>
      <c r="V166" s="34">
        <v>0</v>
      </c>
      <c r="W166" s="34">
        <v>0</v>
      </c>
      <c r="X166" s="2">
        <f t="shared" si="5"/>
        <v>0</v>
      </c>
    </row>
    <row r="167" spans="1:24" x14ac:dyDescent="0.2">
      <c r="A167" s="35" t="s">
        <v>99</v>
      </c>
      <c r="B167" s="34">
        <v>0</v>
      </c>
      <c r="C167" s="34">
        <v>0</v>
      </c>
      <c r="D167" s="34">
        <v>0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4">
        <v>0</v>
      </c>
      <c r="W167" s="34">
        <v>0</v>
      </c>
      <c r="X167" s="2">
        <f t="shared" si="5"/>
        <v>0</v>
      </c>
    </row>
    <row r="168" spans="1:24" x14ac:dyDescent="0.2">
      <c r="A168" s="35" t="s">
        <v>213</v>
      </c>
      <c r="B168" s="34">
        <v>0</v>
      </c>
      <c r="C168" s="34">
        <v>0</v>
      </c>
      <c r="D168" s="34">
        <v>0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  <c r="X168" s="2">
        <f t="shared" si="5"/>
        <v>0</v>
      </c>
    </row>
    <row r="169" spans="1:24" x14ac:dyDescent="0.2">
      <c r="A169" s="35" t="s">
        <v>236</v>
      </c>
      <c r="B169" s="34">
        <v>0</v>
      </c>
      <c r="C169" s="34">
        <v>0</v>
      </c>
      <c r="D169" s="34">
        <v>0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4">
        <v>0</v>
      </c>
      <c r="U169" s="34">
        <v>0</v>
      </c>
      <c r="V169" s="34">
        <v>0</v>
      </c>
      <c r="W169" s="34">
        <v>0</v>
      </c>
      <c r="X169" s="2">
        <f t="shared" si="5"/>
        <v>0</v>
      </c>
    </row>
    <row r="170" spans="1:24" x14ac:dyDescent="0.2">
      <c r="A170" s="35" t="s">
        <v>257</v>
      </c>
      <c r="B170" s="34">
        <v>0</v>
      </c>
      <c r="C170" s="34">
        <v>0</v>
      </c>
      <c r="D170" s="34">
        <v>0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  <c r="X170" s="2">
        <f t="shared" si="5"/>
        <v>0</v>
      </c>
    </row>
    <row r="171" spans="1:24" x14ac:dyDescent="0.2">
      <c r="A171" s="35" t="s">
        <v>189</v>
      </c>
      <c r="B171" s="34">
        <v>0</v>
      </c>
      <c r="C171" s="34">
        <v>0</v>
      </c>
      <c r="D171" s="34">
        <v>0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v>0</v>
      </c>
      <c r="U171" s="34">
        <v>0</v>
      </c>
      <c r="V171" s="34">
        <v>0</v>
      </c>
      <c r="W171" s="34">
        <v>0</v>
      </c>
      <c r="X171" s="2">
        <f t="shared" si="5"/>
        <v>0</v>
      </c>
    </row>
    <row r="172" spans="1:24" x14ac:dyDescent="0.2">
      <c r="A172" s="35" t="s">
        <v>121</v>
      </c>
      <c r="B172" s="34">
        <v>0</v>
      </c>
      <c r="C172" s="34">
        <v>0</v>
      </c>
      <c r="D172" s="34">
        <v>0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  <c r="X172" s="2">
        <f t="shared" si="5"/>
        <v>0</v>
      </c>
    </row>
    <row r="173" spans="1:24" x14ac:dyDescent="0.2">
      <c r="A173" s="35" t="s">
        <v>167</v>
      </c>
      <c r="B173" s="34">
        <v>0</v>
      </c>
      <c r="C173" s="34">
        <v>0</v>
      </c>
      <c r="D173" s="34">
        <v>0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4">
        <v>0</v>
      </c>
      <c r="U173" s="34">
        <v>0</v>
      </c>
      <c r="V173" s="34">
        <v>0</v>
      </c>
      <c r="W173" s="34">
        <v>0</v>
      </c>
      <c r="X173" s="2">
        <f t="shared" si="5"/>
        <v>0</v>
      </c>
    </row>
    <row r="174" spans="1:24" x14ac:dyDescent="0.2">
      <c r="A174" s="35" t="s">
        <v>169</v>
      </c>
      <c r="B174" s="34">
        <v>0</v>
      </c>
      <c r="C174" s="34">
        <v>0</v>
      </c>
      <c r="D174" s="34">
        <v>0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4">
        <v>0</v>
      </c>
      <c r="U174" s="34">
        <v>0</v>
      </c>
      <c r="V174" s="34">
        <v>0</v>
      </c>
      <c r="W174" s="34">
        <v>0</v>
      </c>
      <c r="X174" s="2">
        <f t="shared" si="5"/>
        <v>0</v>
      </c>
    </row>
    <row r="175" spans="1:24" x14ac:dyDescent="0.2">
      <c r="A175" s="35" t="s">
        <v>146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2">
        <f t="shared" si="5"/>
        <v>0</v>
      </c>
    </row>
    <row r="176" spans="1:24" x14ac:dyDescent="0.2">
      <c r="A176" s="35" t="s">
        <v>214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70">
        <f t="shared" si="5"/>
        <v>0</v>
      </c>
    </row>
    <row r="177" spans="1:24" x14ac:dyDescent="0.2">
      <c r="A177" s="35" t="s">
        <v>192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70">
        <f t="shared" si="5"/>
        <v>0</v>
      </c>
    </row>
    <row r="178" spans="1:24" x14ac:dyDescent="0.2">
      <c r="A178" s="69" t="s">
        <v>260</v>
      </c>
      <c r="B178" s="66">
        <v>0</v>
      </c>
      <c r="C178" s="66">
        <v>0</v>
      </c>
      <c r="D178" s="66">
        <v>0</v>
      </c>
      <c r="E178" s="66">
        <v>0</v>
      </c>
      <c r="F178" s="66">
        <v>0</v>
      </c>
      <c r="G178" s="66">
        <v>0</v>
      </c>
      <c r="H178" s="66">
        <v>0</v>
      </c>
      <c r="I178" s="66">
        <v>0</v>
      </c>
      <c r="J178" s="66">
        <v>0</v>
      </c>
      <c r="K178" s="66">
        <v>0</v>
      </c>
      <c r="L178" s="66">
        <v>0</v>
      </c>
      <c r="M178" s="66">
        <v>0</v>
      </c>
      <c r="N178" s="66">
        <v>0</v>
      </c>
      <c r="O178" s="66">
        <v>0</v>
      </c>
      <c r="P178" s="66">
        <v>0</v>
      </c>
      <c r="Q178" s="66">
        <v>0</v>
      </c>
      <c r="R178" s="66">
        <v>0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70">
        <f t="shared" ref="X178:X197" si="6">SUM(B178:W178)</f>
        <v>0</v>
      </c>
    </row>
    <row r="179" spans="1:24" x14ac:dyDescent="0.2">
      <c r="A179" s="69" t="s">
        <v>238</v>
      </c>
      <c r="B179" s="66">
        <v>0</v>
      </c>
      <c r="C179" s="66">
        <v>0</v>
      </c>
      <c r="D179" s="66">
        <v>0</v>
      </c>
      <c r="E179" s="66">
        <v>0</v>
      </c>
      <c r="F179" s="66">
        <v>0</v>
      </c>
      <c r="G179" s="66">
        <v>0</v>
      </c>
      <c r="H179" s="66">
        <v>0</v>
      </c>
      <c r="I179" s="66">
        <v>0</v>
      </c>
      <c r="J179" s="66">
        <v>0</v>
      </c>
      <c r="K179" s="66">
        <v>0</v>
      </c>
      <c r="L179" s="66">
        <v>0</v>
      </c>
      <c r="M179" s="66">
        <v>0</v>
      </c>
      <c r="N179" s="66">
        <v>0</v>
      </c>
      <c r="O179" s="66">
        <v>0</v>
      </c>
      <c r="P179" s="66">
        <v>0</v>
      </c>
      <c r="Q179" s="66">
        <v>0</v>
      </c>
      <c r="R179" s="66">
        <v>0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70">
        <f t="shared" si="6"/>
        <v>0</v>
      </c>
    </row>
    <row r="180" spans="1:24" x14ac:dyDescent="0.2">
      <c r="A180" s="69" t="s">
        <v>237</v>
      </c>
      <c r="B180" s="66">
        <v>0</v>
      </c>
      <c r="C180" s="66">
        <v>0</v>
      </c>
      <c r="D180" s="66">
        <v>0</v>
      </c>
      <c r="E180" s="66">
        <v>0</v>
      </c>
      <c r="F180" s="66">
        <v>0</v>
      </c>
      <c r="G180" s="66">
        <v>0</v>
      </c>
      <c r="H180" s="66">
        <v>0</v>
      </c>
      <c r="I180" s="66">
        <v>0</v>
      </c>
      <c r="J180" s="66">
        <v>0</v>
      </c>
      <c r="K180" s="66">
        <v>0</v>
      </c>
      <c r="L180" s="66">
        <v>0</v>
      </c>
      <c r="M180" s="66">
        <v>0</v>
      </c>
      <c r="N180" s="66">
        <v>0</v>
      </c>
      <c r="O180" s="66">
        <v>0</v>
      </c>
      <c r="P180" s="66">
        <v>0</v>
      </c>
      <c r="Q180" s="66">
        <v>0</v>
      </c>
      <c r="R180" s="66">
        <v>0</v>
      </c>
      <c r="S180" s="66">
        <v>0</v>
      </c>
      <c r="T180" s="66">
        <v>0</v>
      </c>
      <c r="U180" s="66">
        <v>0</v>
      </c>
      <c r="V180" s="66">
        <v>0</v>
      </c>
      <c r="W180" s="66">
        <v>0</v>
      </c>
      <c r="X180" s="70">
        <f t="shared" si="6"/>
        <v>0</v>
      </c>
    </row>
    <row r="181" spans="1:24" x14ac:dyDescent="0.2">
      <c r="A181" s="69" t="s">
        <v>191</v>
      </c>
      <c r="B181" s="66">
        <v>0</v>
      </c>
      <c r="C181" s="66">
        <v>0</v>
      </c>
      <c r="D181" s="66">
        <v>0</v>
      </c>
      <c r="E181" s="66">
        <v>0</v>
      </c>
      <c r="F181" s="66">
        <v>0</v>
      </c>
      <c r="G181" s="66">
        <v>0</v>
      </c>
      <c r="H181" s="66">
        <v>0</v>
      </c>
      <c r="I181" s="66">
        <v>0</v>
      </c>
      <c r="J181" s="66">
        <v>0</v>
      </c>
      <c r="K181" s="66">
        <v>0</v>
      </c>
      <c r="L181" s="66">
        <v>0</v>
      </c>
      <c r="M181" s="66">
        <v>0</v>
      </c>
      <c r="N181" s="66">
        <v>0</v>
      </c>
      <c r="O181" s="66">
        <v>0</v>
      </c>
      <c r="P181" s="66">
        <v>0</v>
      </c>
      <c r="Q181" s="66">
        <v>0</v>
      </c>
      <c r="R181" s="66">
        <v>0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70">
        <f t="shared" si="6"/>
        <v>0</v>
      </c>
    </row>
    <row r="182" spans="1:24" x14ac:dyDescent="0.2">
      <c r="A182" s="69" t="s">
        <v>147</v>
      </c>
      <c r="B182" s="66">
        <v>0</v>
      </c>
      <c r="C182" s="66">
        <v>0</v>
      </c>
      <c r="D182" s="66">
        <v>0</v>
      </c>
      <c r="E182" s="66">
        <v>0</v>
      </c>
      <c r="F182" s="66">
        <v>0</v>
      </c>
      <c r="G182" s="66">
        <v>0</v>
      </c>
      <c r="H182" s="66">
        <v>0</v>
      </c>
      <c r="I182" s="66">
        <v>0</v>
      </c>
      <c r="J182" s="66">
        <v>0</v>
      </c>
      <c r="K182" s="66">
        <v>0</v>
      </c>
      <c r="L182" s="66">
        <v>0</v>
      </c>
      <c r="M182" s="66">
        <v>0</v>
      </c>
      <c r="N182" s="66">
        <v>0</v>
      </c>
      <c r="O182" s="66">
        <v>0</v>
      </c>
      <c r="P182" s="66">
        <v>0</v>
      </c>
      <c r="Q182" s="66">
        <v>0</v>
      </c>
      <c r="R182" s="66">
        <v>0</v>
      </c>
      <c r="S182" s="66">
        <v>0</v>
      </c>
      <c r="T182" s="66">
        <v>0</v>
      </c>
      <c r="U182" s="66">
        <v>0</v>
      </c>
      <c r="V182" s="66">
        <v>0</v>
      </c>
      <c r="W182" s="66">
        <v>0</v>
      </c>
      <c r="X182" s="70">
        <f t="shared" si="6"/>
        <v>0</v>
      </c>
    </row>
    <row r="183" spans="1:24" x14ac:dyDescent="0.2">
      <c r="A183" s="69" t="s">
        <v>215</v>
      </c>
      <c r="B183" s="66">
        <v>0</v>
      </c>
      <c r="C183" s="66">
        <v>0</v>
      </c>
      <c r="D183" s="66">
        <v>0</v>
      </c>
      <c r="E183" s="66">
        <v>0</v>
      </c>
      <c r="F183" s="66">
        <v>0</v>
      </c>
      <c r="G183" s="66">
        <v>0</v>
      </c>
      <c r="H183" s="66">
        <v>0</v>
      </c>
      <c r="I183" s="66">
        <v>0</v>
      </c>
      <c r="J183" s="66">
        <v>0</v>
      </c>
      <c r="K183" s="66">
        <v>0</v>
      </c>
      <c r="L183" s="66">
        <v>0</v>
      </c>
      <c r="M183" s="66">
        <v>0</v>
      </c>
      <c r="N183" s="66">
        <v>0</v>
      </c>
      <c r="O183" s="66">
        <v>0</v>
      </c>
      <c r="P183" s="66">
        <v>0</v>
      </c>
      <c r="Q183" s="66">
        <v>0</v>
      </c>
      <c r="R183" s="66">
        <v>0</v>
      </c>
      <c r="S183" s="66">
        <v>0</v>
      </c>
      <c r="T183" s="66">
        <v>0</v>
      </c>
      <c r="U183" s="66">
        <v>0</v>
      </c>
      <c r="V183" s="66">
        <v>0</v>
      </c>
      <c r="W183" s="66">
        <v>0</v>
      </c>
      <c r="X183" s="70">
        <f t="shared" si="6"/>
        <v>0</v>
      </c>
    </row>
    <row r="184" spans="1:24" x14ac:dyDescent="0.2">
      <c r="A184" s="69" t="s">
        <v>193</v>
      </c>
      <c r="B184" s="66">
        <v>0</v>
      </c>
      <c r="C184" s="66">
        <v>0</v>
      </c>
      <c r="D184" s="66">
        <v>0</v>
      </c>
      <c r="E184" s="66">
        <v>0</v>
      </c>
      <c r="F184" s="66">
        <v>0</v>
      </c>
      <c r="G184" s="66">
        <v>0</v>
      </c>
      <c r="H184" s="66">
        <v>0</v>
      </c>
      <c r="I184" s="66">
        <v>0</v>
      </c>
      <c r="J184" s="66">
        <v>0</v>
      </c>
      <c r="K184" s="66">
        <v>0</v>
      </c>
      <c r="L184" s="66">
        <v>0</v>
      </c>
      <c r="M184" s="66">
        <v>0</v>
      </c>
      <c r="N184" s="66">
        <v>0</v>
      </c>
      <c r="O184" s="66">
        <v>0</v>
      </c>
      <c r="P184" s="66">
        <v>0</v>
      </c>
      <c r="Q184" s="66">
        <v>0</v>
      </c>
      <c r="R184" s="66">
        <v>0</v>
      </c>
      <c r="S184" s="66">
        <v>0</v>
      </c>
      <c r="T184" s="66">
        <v>0</v>
      </c>
      <c r="U184" s="66">
        <v>0</v>
      </c>
      <c r="V184" s="66">
        <v>0</v>
      </c>
      <c r="W184" s="66">
        <v>0</v>
      </c>
      <c r="X184" s="70">
        <f t="shared" si="6"/>
        <v>0</v>
      </c>
    </row>
    <row r="185" spans="1:24" x14ac:dyDescent="0.2">
      <c r="A185" s="69" t="s">
        <v>239</v>
      </c>
      <c r="B185" s="66">
        <v>0</v>
      </c>
      <c r="C185" s="66">
        <v>0</v>
      </c>
      <c r="D185" s="66">
        <v>0</v>
      </c>
      <c r="E185" s="66">
        <v>0</v>
      </c>
      <c r="F185" s="66">
        <v>0</v>
      </c>
      <c r="G185" s="66">
        <v>0</v>
      </c>
      <c r="H185" s="66">
        <v>0</v>
      </c>
      <c r="I185" s="66">
        <v>0</v>
      </c>
      <c r="J185" s="66">
        <v>0</v>
      </c>
      <c r="K185" s="66">
        <v>0</v>
      </c>
      <c r="L185" s="66">
        <v>0</v>
      </c>
      <c r="M185" s="66">
        <v>0</v>
      </c>
      <c r="N185" s="66">
        <v>0</v>
      </c>
      <c r="O185" s="66">
        <v>0</v>
      </c>
      <c r="P185" s="66">
        <v>0</v>
      </c>
      <c r="Q185" s="66">
        <v>0</v>
      </c>
      <c r="R185" s="66">
        <v>0</v>
      </c>
      <c r="S185" s="66">
        <v>0</v>
      </c>
      <c r="T185" s="66">
        <v>0</v>
      </c>
      <c r="U185" s="66">
        <v>0</v>
      </c>
      <c r="V185" s="66">
        <v>0</v>
      </c>
      <c r="W185" s="66">
        <v>0</v>
      </c>
      <c r="X185" s="70">
        <f t="shared" si="6"/>
        <v>0</v>
      </c>
    </row>
    <row r="186" spans="1:24" x14ac:dyDescent="0.2">
      <c r="A186" s="69" t="s">
        <v>270</v>
      </c>
      <c r="B186" s="66">
        <v>0</v>
      </c>
      <c r="C186" s="66">
        <v>0</v>
      </c>
      <c r="D186" s="66">
        <v>0</v>
      </c>
      <c r="E186" s="66">
        <v>0</v>
      </c>
      <c r="F186" s="66">
        <v>0</v>
      </c>
      <c r="G186" s="66">
        <v>0</v>
      </c>
      <c r="H186" s="66">
        <v>0</v>
      </c>
      <c r="I186" s="66">
        <v>0</v>
      </c>
      <c r="J186" s="66">
        <v>0</v>
      </c>
      <c r="K186" s="66">
        <v>0</v>
      </c>
      <c r="L186" s="66">
        <v>0</v>
      </c>
      <c r="M186" s="66">
        <v>0</v>
      </c>
      <c r="N186" s="66">
        <v>0</v>
      </c>
      <c r="O186" s="66">
        <v>0</v>
      </c>
      <c r="P186" s="66">
        <v>0</v>
      </c>
      <c r="Q186" s="66">
        <v>0</v>
      </c>
      <c r="R186" s="66">
        <v>0</v>
      </c>
      <c r="S186" s="66">
        <v>0</v>
      </c>
      <c r="T186" s="66">
        <v>0</v>
      </c>
      <c r="U186" s="66">
        <v>0</v>
      </c>
      <c r="V186" s="66">
        <v>0</v>
      </c>
      <c r="W186" s="66">
        <v>0</v>
      </c>
      <c r="X186" s="70">
        <f t="shared" si="6"/>
        <v>0</v>
      </c>
    </row>
    <row r="187" spans="1:24" x14ac:dyDescent="0.2">
      <c r="A187" s="69" t="s">
        <v>271</v>
      </c>
      <c r="B187" s="66">
        <v>0</v>
      </c>
      <c r="C187" s="66">
        <v>0</v>
      </c>
      <c r="D187" s="66">
        <v>0</v>
      </c>
      <c r="E187" s="66">
        <v>0</v>
      </c>
      <c r="F187" s="66">
        <v>0</v>
      </c>
      <c r="G187" s="66">
        <v>0</v>
      </c>
      <c r="H187" s="66">
        <v>0</v>
      </c>
      <c r="I187" s="66">
        <v>0</v>
      </c>
      <c r="J187" s="66">
        <v>0</v>
      </c>
      <c r="K187" s="66">
        <v>0</v>
      </c>
      <c r="L187" s="66">
        <v>0</v>
      </c>
      <c r="M187" s="66">
        <v>0</v>
      </c>
      <c r="N187" s="66">
        <v>0</v>
      </c>
      <c r="O187" s="66">
        <v>0</v>
      </c>
      <c r="P187" s="66">
        <v>0</v>
      </c>
      <c r="Q187" s="66">
        <v>0</v>
      </c>
      <c r="R187" s="66">
        <v>0</v>
      </c>
      <c r="S187" s="66">
        <v>0</v>
      </c>
      <c r="T187" s="66">
        <v>0</v>
      </c>
      <c r="U187" s="66">
        <v>0</v>
      </c>
      <c r="V187" s="66">
        <v>0</v>
      </c>
      <c r="W187" s="66">
        <v>0</v>
      </c>
      <c r="X187" s="70">
        <f t="shared" si="6"/>
        <v>0</v>
      </c>
    </row>
    <row r="188" spans="1:24" x14ac:dyDescent="0.2">
      <c r="A188" s="69" t="s">
        <v>269</v>
      </c>
      <c r="B188" s="66">
        <v>0</v>
      </c>
      <c r="C188" s="66">
        <v>0</v>
      </c>
      <c r="D188" s="66">
        <v>0</v>
      </c>
      <c r="E188" s="66">
        <v>0</v>
      </c>
      <c r="F188" s="66">
        <v>0</v>
      </c>
      <c r="G188" s="66">
        <v>0</v>
      </c>
      <c r="H188" s="66">
        <v>0</v>
      </c>
      <c r="I188" s="66">
        <v>0</v>
      </c>
      <c r="J188" s="66">
        <v>0</v>
      </c>
      <c r="K188" s="66">
        <v>0</v>
      </c>
      <c r="L188" s="66">
        <v>0</v>
      </c>
      <c r="M188" s="66">
        <v>0</v>
      </c>
      <c r="N188" s="66">
        <v>0</v>
      </c>
      <c r="O188" s="66">
        <v>0</v>
      </c>
      <c r="P188" s="66">
        <v>0</v>
      </c>
      <c r="Q188" s="66">
        <v>0</v>
      </c>
      <c r="R188" s="66">
        <v>0</v>
      </c>
      <c r="S188" s="66">
        <v>0</v>
      </c>
      <c r="T188" s="66">
        <v>0</v>
      </c>
      <c r="U188" s="66">
        <v>0</v>
      </c>
      <c r="V188" s="66">
        <v>0</v>
      </c>
      <c r="W188" s="66">
        <v>0</v>
      </c>
      <c r="X188" s="70">
        <f t="shared" si="6"/>
        <v>0</v>
      </c>
    </row>
    <row r="189" spans="1:24" x14ac:dyDescent="0.2">
      <c r="A189" s="69" t="s">
        <v>267</v>
      </c>
      <c r="B189" s="66">
        <v>0</v>
      </c>
      <c r="C189" s="66">
        <v>0</v>
      </c>
      <c r="D189" s="66">
        <v>0</v>
      </c>
      <c r="E189" s="66">
        <v>0</v>
      </c>
      <c r="F189" s="66">
        <v>0</v>
      </c>
      <c r="G189" s="66">
        <v>0</v>
      </c>
      <c r="H189" s="66">
        <v>0</v>
      </c>
      <c r="I189" s="66">
        <v>0</v>
      </c>
      <c r="J189" s="66">
        <v>0</v>
      </c>
      <c r="K189" s="66">
        <v>0</v>
      </c>
      <c r="L189" s="66">
        <v>0</v>
      </c>
      <c r="M189" s="66">
        <v>0</v>
      </c>
      <c r="N189" s="66">
        <v>0</v>
      </c>
      <c r="O189" s="66">
        <v>0</v>
      </c>
      <c r="P189" s="66">
        <v>0</v>
      </c>
      <c r="Q189" s="66">
        <v>0</v>
      </c>
      <c r="R189" s="66">
        <v>0</v>
      </c>
      <c r="S189" s="66">
        <v>0</v>
      </c>
      <c r="T189" s="66">
        <v>0</v>
      </c>
      <c r="U189" s="66">
        <v>0</v>
      </c>
      <c r="V189" s="66">
        <v>0</v>
      </c>
      <c r="W189" s="66">
        <v>0</v>
      </c>
      <c r="X189" s="70">
        <f t="shared" si="6"/>
        <v>0</v>
      </c>
    </row>
    <row r="190" spans="1:24" x14ac:dyDescent="0.2">
      <c r="A190" s="69" t="s">
        <v>268</v>
      </c>
      <c r="B190" s="66">
        <v>0</v>
      </c>
      <c r="C190" s="66">
        <v>0</v>
      </c>
      <c r="D190" s="66">
        <v>0</v>
      </c>
      <c r="E190" s="66">
        <v>0</v>
      </c>
      <c r="F190" s="66">
        <v>0</v>
      </c>
      <c r="G190" s="66">
        <v>0</v>
      </c>
      <c r="H190" s="66">
        <v>0</v>
      </c>
      <c r="I190" s="66">
        <v>0</v>
      </c>
      <c r="J190" s="66">
        <v>0</v>
      </c>
      <c r="K190" s="66">
        <v>0</v>
      </c>
      <c r="L190" s="66">
        <v>0</v>
      </c>
      <c r="M190" s="66">
        <v>0</v>
      </c>
      <c r="N190" s="66">
        <v>0</v>
      </c>
      <c r="O190" s="66">
        <v>0</v>
      </c>
      <c r="P190" s="66">
        <v>0</v>
      </c>
      <c r="Q190" s="66">
        <v>0</v>
      </c>
      <c r="R190" s="66">
        <v>0</v>
      </c>
      <c r="S190" s="66">
        <v>0</v>
      </c>
      <c r="T190" s="66">
        <v>0</v>
      </c>
      <c r="U190" s="66">
        <v>0</v>
      </c>
      <c r="V190" s="66">
        <v>0</v>
      </c>
      <c r="W190" s="66">
        <v>0</v>
      </c>
      <c r="X190" s="70">
        <f t="shared" si="6"/>
        <v>0</v>
      </c>
    </row>
    <row r="191" spans="1:24" x14ac:dyDescent="0.2">
      <c r="A191" s="69" t="s">
        <v>272</v>
      </c>
      <c r="B191" s="66">
        <v>0</v>
      </c>
      <c r="C191" s="66">
        <v>0</v>
      </c>
      <c r="D191" s="66">
        <v>0</v>
      </c>
      <c r="E191" s="66">
        <v>0</v>
      </c>
      <c r="F191" s="66">
        <v>0</v>
      </c>
      <c r="G191" s="66">
        <v>0</v>
      </c>
      <c r="H191" s="66">
        <v>0</v>
      </c>
      <c r="I191" s="66">
        <v>0</v>
      </c>
      <c r="J191" s="66">
        <v>0</v>
      </c>
      <c r="K191" s="66">
        <v>0</v>
      </c>
      <c r="L191" s="66">
        <v>0</v>
      </c>
      <c r="M191" s="66">
        <v>0</v>
      </c>
      <c r="N191" s="66">
        <v>0</v>
      </c>
      <c r="O191" s="66">
        <v>0</v>
      </c>
      <c r="P191" s="66">
        <v>0</v>
      </c>
      <c r="Q191" s="66">
        <v>0</v>
      </c>
      <c r="R191" s="66">
        <v>0</v>
      </c>
      <c r="S191" s="66">
        <v>0</v>
      </c>
      <c r="T191" s="66">
        <v>0</v>
      </c>
      <c r="U191" s="66">
        <v>0</v>
      </c>
      <c r="V191" s="66">
        <v>0</v>
      </c>
      <c r="W191" s="66">
        <v>0</v>
      </c>
      <c r="X191" s="70">
        <f t="shared" si="6"/>
        <v>0</v>
      </c>
    </row>
    <row r="192" spans="1:24" x14ac:dyDescent="0.2">
      <c r="A192" s="69" t="s">
        <v>273</v>
      </c>
      <c r="B192" s="66">
        <v>0</v>
      </c>
      <c r="C192" s="66">
        <v>0</v>
      </c>
      <c r="D192" s="66">
        <v>0</v>
      </c>
      <c r="E192" s="66">
        <v>0</v>
      </c>
      <c r="F192" s="66">
        <v>0</v>
      </c>
      <c r="G192" s="66">
        <v>0</v>
      </c>
      <c r="H192" s="66">
        <v>0</v>
      </c>
      <c r="I192" s="66">
        <v>0</v>
      </c>
      <c r="J192" s="66">
        <v>0</v>
      </c>
      <c r="K192" s="66">
        <v>0</v>
      </c>
      <c r="L192" s="66">
        <v>0</v>
      </c>
      <c r="M192" s="66">
        <v>0</v>
      </c>
      <c r="N192" s="66">
        <v>0</v>
      </c>
      <c r="O192" s="66">
        <v>0</v>
      </c>
      <c r="P192" s="66">
        <v>0</v>
      </c>
      <c r="Q192" s="66">
        <v>0</v>
      </c>
      <c r="R192" s="66">
        <v>0</v>
      </c>
      <c r="S192" s="66">
        <v>0</v>
      </c>
      <c r="T192" s="66">
        <v>0</v>
      </c>
      <c r="U192" s="66">
        <v>0</v>
      </c>
      <c r="V192" s="66">
        <v>0</v>
      </c>
      <c r="W192" s="66">
        <v>0</v>
      </c>
      <c r="X192" s="70">
        <f t="shared" si="6"/>
        <v>0</v>
      </c>
    </row>
    <row r="193" spans="1:24" x14ac:dyDescent="0.2">
      <c r="A193" s="69" t="s">
        <v>3</v>
      </c>
      <c r="B193" s="66">
        <v>0</v>
      </c>
      <c r="C193" s="66">
        <v>0</v>
      </c>
      <c r="D193" s="66">
        <v>0</v>
      </c>
      <c r="E193" s="66">
        <v>0</v>
      </c>
      <c r="F193" s="66">
        <v>0</v>
      </c>
      <c r="G193" s="66">
        <v>0</v>
      </c>
      <c r="H193" s="66">
        <v>0</v>
      </c>
      <c r="I193" s="66">
        <v>0</v>
      </c>
      <c r="J193" s="66">
        <v>0</v>
      </c>
      <c r="K193" s="66">
        <v>0</v>
      </c>
      <c r="L193" s="66">
        <v>0</v>
      </c>
      <c r="M193" s="66">
        <v>0</v>
      </c>
      <c r="N193" s="66">
        <v>0</v>
      </c>
      <c r="O193" s="66">
        <v>0</v>
      </c>
      <c r="P193" s="66">
        <v>0</v>
      </c>
      <c r="Q193" s="66">
        <v>0</v>
      </c>
      <c r="R193" s="66">
        <v>0</v>
      </c>
      <c r="S193" s="66">
        <v>0</v>
      </c>
      <c r="T193" s="66">
        <v>0</v>
      </c>
      <c r="U193" s="66">
        <v>0</v>
      </c>
      <c r="V193" s="66">
        <v>0</v>
      </c>
      <c r="W193" s="66">
        <v>0</v>
      </c>
      <c r="X193" s="70">
        <f t="shared" si="6"/>
        <v>0</v>
      </c>
    </row>
    <row r="194" spans="1:24" x14ac:dyDescent="0.2">
      <c r="A194" s="69" t="s">
        <v>274</v>
      </c>
      <c r="B194" s="66">
        <v>0</v>
      </c>
      <c r="C194" s="66">
        <v>0</v>
      </c>
      <c r="D194" s="66">
        <v>0</v>
      </c>
      <c r="E194" s="66">
        <v>0</v>
      </c>
      <c r="F194" s="66">
        <v>0</v>
      </c>
      <c r="G194" s="66">
        <v>0</v>
      </c>
      <c r="H194" s="66">
        <v>0</v>
      </c>
      <c r="I194" s="66">
        <v>0</v>
      </c>
      <c r="J194" s="66">
        <v>0</v>
      </c>
      <c r="K194" s="66">
        <v>0</v>
      </c>
      <c r="L194" s="66">
        <v>0</v>
      </c>
      <c r="M194" s="66">
        <v>0</v>
      </c>
      <c r="N194" s="66">
        <v>0</v>
      </c>
      <c r="O194" s="66">
        <v>0</v>
      </c>
      <c r="P194" s="66">
        <v>0</v>
      </c>
      <c r="Q194" s="66">
        <v>0</v>
      </c>
      <c r="R194" s="66">
        <v>0</v>
      </c>
      <c r="S194" s="66">
        <v>0</v>
      </c>
      <c r="T194" s="66">
        <v>0</v>
      </c>
      <c r="U194" s="66">
        <v>0</v>
      </c>
      <c r="V194" s="66">
        <v>0</v>
      </c>
      <c r="W194" s="66">
        <v>0</v>
      </c>
      <c r="X194" s="70">
        <f t="shared" si="6"/>
        <v>0</v>
      </c>
    </row>
    <row r="195" spans="1:24" x14ac:dyDescent="0.2">
      <c r="A195" s="69" t="s">
        <v>275</v>
      </c>
      <c r="B195" s="65">
        <v>0</v>
      </c>
      <c r="C195" s="66">
        <v>0</v>
      </c>
      <c r="D195" s="66">
        <v>0</v>
      </c>
      <c r="E195" s="66">
        <v>0</v>
      </c>
      <c r="F195" s="66">
        <v>0</v>
      </c>
      <c r="G195" s="66">
        <v>0</v>
      </c>
      <c r="H195" s="66">
        <v>0</v>
      </c>
      <c r="I195" s="66">
        <v>0</v>
      </c>
      <c r="J195" s="66">
        <v>0</v>
      </c>
      <c r="K195" s="66">
        <v>0</v>
      </c>
      <c r="L195" s="66">
        <v>0</v>
      </c>
      <c r="M195" s="66">
        <v>0</v>
      </c>
      <c r="N195" s="66">
        <v>0</v>
      </c>
      <c r="O195" s="66">
        <v>0</v>
      </c>
      <c r="P195" s="66">
        <v>0</v>
      </c>
      <c r="Q195" s="66">
        <v>0</v>
      </c>
      <c r="R195" s="66">
        <v>0</v>
      </c>
      <c r="S195" s="66">
        <v>0</v>
      </c>
      <c r="T195" s="66">
        <v>0</v>
      </c>
      <c r="U195" s="66">
        <v>0</v>
      </c>
      <c r="V195" s="66">
        <v>0</v>
      </c>
      <c r="W195" s="66">
        <v>0</v>
      </c>
      <c r="X195" s="70">
        <f t="shared" si="6"/>
        <v>0</v>
      </c>
    </row>
    <row r="196" spans="1:24" x14ac:dyDescent="0.2">
      <c r="A196" s="69" t="s">
        <v>276</v>
      </c>
      <c r="B196" s="65">
        <v>0</v>
      </c>
      <c r="C196" s="66">
        <v>0</v>
      </c>
      <c r="D196" s="66">
        <v>0</v>
      </c>
      <c r="E196" s="66">
        <v>0</v>
      </c>
      <c r="F196" s="66">
        <v>0</v>
      </c>
      <c r="G196" s="66">
        <v>0</v>
      </c>
      <c r="H196" s="66">
        <v>0</v>
      </c>
      <c r="I196" s="66">
        <v>0</v>
      </c>
      <c r="J196" s="66">
        <v>0</v>
      </c>
      <c r="K196" s="66">
        <v>0</v>
      </c>
      <c r="L196" s="66">
        <v>0</v>
      </c>
      <c r="M196" s="66">
        <v>0</v>
      </c>
      <c r="N196" s="66">
        <v>0</v>
      </c>
      <c r="O196" s="66">
        <v>0</v>
      </c>
      <c r="P196" s="66">
        <v>0</v>
      </c>
      <c r="Q196" s="66">
        <v>0</v>
      </c>
      <c r="R196" s="66">
        <v>0</v>
      </c>
      <c r="S196" s="66">
        <v>0</v>
      </c>
      <c r="T196" s="66">
        <v>0</v>
      </c>
      <c r="U196" s="66">
        <v>0</v>
      </c>
      <c r="V196" s="66">
        <v>0</v>
      </c>
      <c r="W196" s="66">
        <v>0</v>
      </c>
      <c r="X196" s="70">
        <f t="shared" si="6"/>
        <v>0</v>
      </c>
    </row>
    <row r="197" spans="1:24" x14ac:dyDescent="0.2">
      <c r="A197" s="69" t="s">
        <v>277</v>
      </c>
      <c r="B197" s="65">
        <v>0</v>
      </c>
      <c r="C197" s="66">
        <v>0</v>
      </c>
      <c r="D197" s="66">
        <v>0</v>
      </c>
      <c r="E197" s="66">
        <v>0</v>
      </c>
      <c r="F197" s="66">
        <v>0</v>
      </c>
      <c r="G197" s="66">
        <v>0</v>
      </c>
      <c r="H197" s="66">
        <v>0</v>
      </c>
      <c r="I197" s="66">
        <v>0</v>
      </c>
      <c r="J197" s="66">
        <v>0</v>
      </c>
      <c r="K197" s="66">
        <v>0</v>
      </c>
      <c r="L197" s="66">
        <v>0</v>
      </c>
      <c r="M197" s="66">
        <v>0</v>
      </c>
      <c r="N197" s="66">
        <v>0</v>
      </c>
      <c r="O197" s="66">
        <v>0</v>
      </c>
      <c r="P197" s="66">
        <v>0</v>
      </c>
      <c r="Q197" s="66">
        <v>0</v>
      </c>
      <c r="R197" s="66">
        <v>0</v>
      </c>
      <c r="S197" s="66">
        <v>0</v>
      </c>
      <c r="T197" s="66">
        <v>0</v>
      </c>
      <c r="U197" s="66">
        <v>0</v>
      </c>
      <c r="V197" s="66">
        <v>0</v>
      </c>
      <c r="W197" s="66">
        <v>0</v>
      </c>
      <c r="X197" s="70">
        <f t="shared" si="6"/>
        <v>0</v>
      </c>
    </row>
    <row r="198" spans="1:24" x14ac:dyDescent="0.2">
      <c r="A198" s="68" t="s">
        <v>41</v>
      </c>
      <c r="B198" s="67">
        <f>SUM(B2:B197)</f>
        <v>103</v>
      </c>
      <c r="C198" s="67">
        <f t="shared" ref="C198:W198" si="7">SUM(C2:C197)</f>
        <v>103</v>
      </c>
      <c r="D198" s="67">
        <f t="shared" si="7"/>
        <v>103</v>
      </c>
      <c r="E198" s="67">
        <f t="shared" si="7"/>
        <v>103</v>
      </c>
      <c r="F198" s="67">
        <f t="shared" si="7"/>
        <v>103</v>
      </c>
      <c r="G198" s="67">
        <f t="shared" si="7"/>
        <v>103</v>
      </c>
      <c r="H198" s="67">
        <f t="shared" si="7"/>
        <v>103</v>
      </c>
      <c r="I198" s="67">
        <f t="shared" si="7"/>
        <v>103</v>
      </c>
      <c r="J198" s="67">
        <f t="shared" si="7"/>
        <v>103</v>
      </c>
      <c r="K198" s="67">
        <f t="shared" si="7"/>
        <v>103</v>
      </c>
      <c r="L198" s="67">
        <f t="shared" si="7"/>
        <v>103</v>
      </c>
      <c r="M198" s="67">
        <f t="shared" si="7"/>
        <v>103</v>
      </c>
      <c r="N198" s="67">
        <f t="shared" si="7"/>
        <v>103</v>
      </c>
      <c r="O198" s="67">
        <f t="shared" si="7"/>
        <v>103</v>
      </c>
      <c r="P198" s="67">
        <f t="shared" si="7"/>
        <v>103</v>
      </c>
      <c r="Q198" s="67">
        <f t="shared" si="7"/>
        <v>103</v>
      </c>
      <c r="R198" s="67">
        <f t="shared" si="7"/>
        <v>103</v>
      </c>
      <c r="S198" s="67">
        <f t="shared" si="7"/>
        <v>103</v>
      </c>
      <c r="T198" s="67">
        <f t="shared" si="7"/>
        <v>103</v>
      </c>
      <c r="U198" s="67">
        <f t="shared" si="7"/>
        <v>103</v>
      </c>
      <c r="V198" s="67">
        <f t="shared" si="7"/>
        <v>90</v>
      </c>
      <c r="W198" s="67">
        <f t="shared" si="7"/>
        <v>1183</v>
      </c>
    </row>
    <row r="199" spans="1:24" x14ac:dyDescent="0.2">
      <c r="A199" s="23"/>
    </row>
    <row r="200" spans="1:24" x14ac:dyDescent="0.2">
      <c r="A200" s="23"/>
    </row>
    <row r="201" spans="1:24" x14ac:dyDescent="0.2">
      <c r="A201" s="23"/>
    </row>
    <row r="202" spans="1:24" x14ac:dyDescent="0.2">
      <c r="A202" s="23"/>
    </row>
    <row r="203" spans="1:24" x14ac:dyDescent="0.2">
      <c r="A203" s="23"/>
    </row>
    <row r="204" spans="1:24" x14ac:dyDescent="0.2">
      <c r="A204" s="23"/>
    </row>
    <row r="205" spans="1:24" x14ac:dyDescent="0.2">
      <c r="A205" s="23"/>
    </row>
    <row r="206" spans="1:24" x14ac:dyDescent="0.2">
      <c r="A206" s="23"/>
    </row>
    <row r="207" spans="1:24" x14ac:dyDescent="0.2">
      <c r="A207" s="23"/>
    </row>
    <row r="208" spans="1:24" x14ac:dyDescent="0.2">
      <c r="A208" s="23"/>
    </row>
    <row r="209" spans="1:1" x14ac:dyDescent="0.2">
      <c r="A209" s="23"/>
    </row>
    <row r="210" spans="1:1" x14ac:dyDescent="0.2">
      <c r="A210" s="23"/>
    </row>
    <row r="211" spans="1:1" x14ac:dyDescent="0.2">
      <c r="A211" s="23"/>
    </row>
    <row r="212" spans="1:1" x14ac:dyDescent="0.2">
      <c r="A212" s="23"/>
    </row>
    <row r="213" spans="1:1" x14ac:dyDescent="0.2">
      <c r="A213" s="23"/>
    </row>
    <row r="214" spans="1:1" x14ac:dyDescent="0.2">
      <c r="A214" s="23"/>
    </row>
    <row r="215" spans="1:1" x14ac:dyDescent="0.2">
      <c r="A215" s="23"/>
    </row>
    <row r="216" spans="1:1" x14ac:dyDescent="0.2">
      <c r="A216" s="23"/>
    </row>
    <row r="217" spans="1:1" x14ac:dyDescent="0.2">
      <c r="A217" s="23"/>
    </row>
    <row r="218" spans="1:1" x14ac:dyDescent="0.2">
      <c r="A218" s="23"/>
    </row>
    <row r="219" spans="1:1" x14ac:dyDescent="0.2">
      <c r="A219" s="23"/>
    </row>
    <row r="220" spans="1:1" x14ac:dyDescent="0.2">
      <c r="A220" s="23"/>
    </row>
    <row r="221" spans="1:1" x14ac:dyDescent="0.2">
      <c r="A221" s="23"/>
    </row>
    <row r="222" spans="1:1" x14ac:dyDescent="0.2">
      <c r="A222" s="23"/>
    </row>
    <row r="223" spans="1:1" x14ac:dyDescent="0.2">
      <c r="A223" s="23"/>
    </row>
    <row r="224" spans="1:1" x14ac:dyDescent="0.2">
      <c r="A224" s="23"/>
    </row>
    <row r="225" spans="1:1" x14ac:dyDescent="0.2">
      <c r="A225" s="23"/>
    </row>
    <row r="226" spans="1:1" x14ac:dyDescent="0.2">
      <c r="A226" s="23"/>
    </row>
    <row r="227" spans="1:1" x14ac:dyDescent="0.2">
      <c r="A227" s="23"/>
    </row>
    <row r="228" spans="1:1" x14ac:dyDescent="0.2">
      <c r="A228" s="23"/>
    </row>
    <row r="229" spans="1:1" x14ac:dyDescent="0.2">
      <c r="A229" s="23"/>
    </row>
    <row r="230" spans="1:1" x14ac:dyDescent="0.2">
      <c r="A230" s="23"/>
    </row>
    <row r="231" spans="1:1" x14ac:dyDescent="0.2">
      <c r="A231" s="23"/>
    </row>
    <row r="232" spans="1:1" x14ac:dyDescent="0.2">
      <c r="A232" s="23"/>
    </row>
    <row r="233" spans="1:1" x14ac:dyDescent="0.2">
      <c r="A233" s="23"/>
    </row>
    <row r="234" spans="1:1" x14ac:dyDescent="0.2">
      <c r="A234" s="23"/>
    </row>
    <row r="235" spans="1:1" x14ac:dyDescent="0.2">
      <c r="A235" s="23"/>
    </row>
    <row r="236" spans="1:1" x14ac:dyDescent="0.2">
      <c r="A236" s="23"/>
    </row>
  </sheetData>
  <phoneticPr fontId="0" type="noConversion"/>
  <pageMargins left="0.75" right="0.75" top="1" bottom="1" header="0.5" footer="0.5"/>
  <pageSetup paperSize="9" scale="2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A3" sqref="A3"/>
    </sheetView>
  </sheetViews>
  <sheetFormatPr defaultColWidth="8.85546875" defaultRowHeight="12.75" x14ac:dyDescent="0.2"/>
  <cols>
    <col min="1" max="1" width="37" style="7" customWidth="1"/>
    <col min="2" max="2" width="16" style="12" customWidth="1"/>
    <col min="3" max="4" width="31.28515625" customWidth="1"/>
  </cols>
  <sheetData>
    <row r="1" spans="1:4" ht="15" x14ac:dyDescent="0.25">
      <c r="A1" s="8" t="s">
        <v>280</v>
      </c>
      <c r="B1" s="10" t="s">
        <v>281</v>
      </c>
    </row>
    <row r="2" spans="1:4" ht="14.25" x14ac:dyDescent="0.2">
      <c r="A2" s="9" t="s">
        <v>262</v>
      </c>
      <c r="B2" s="11">
        <f>'Player A'!D34</f>
        <v>1835</v>
      </c>
    </row>
    <row r="3" spans="1:4" ht="14.25" x14ac:dyDescent="0.2">
      <c r="A3" s="9" t="s">
        <v>263</v>
      </c>
      <c r="B3" s="9">
        <f>'Player B'!D34</f>
        <v>1740</v>
      </c>
      <c r="C3" s="21"/>
      <c r="D3" s="21"/>
    </row>
    <row r="4" spans="1:4" ht="14.25" x14ac:dyDescent="0.2">
      <c r="A4" s="9"/>
      <c r="B4" s="9"/>
    </row>
    <row r="5" spans="1:4" ht="14.25" x14ac:dyDescent="0.2">
      <c r="A5" s="9"/>
      <c r="B5" s="9"/>
    </row>
    <row r="6" spans="1:4" ht="14.25" x14ac:dyDescent="0.2">
      <c r="A6" s="9"/>
      <c r="B6" s="9"/>
    </row>
    <row r="7" spans="1:4" ht="14.25" x14ac:dyDescent="0.2">
      <c r="A7" s="9"/>
      <c r="B7" s="9"/>
      <c r="C7" s="21"/>
    </row>
    <row r="8" spans="1:4" ht="14.25" x14ac:dyDescent="0.2">
      <c r="A8" s="9"/>
      <c r="B8" s="9"/>
      <c r="C8" s="25"/>
    </row>
    <row r="9" spans="1:4" ht="14.25" x14ac:dyDescent="0.2">
      <c r="A9" s="9"/>
      <c r="B9" s="9"/>
    </row>
    <row r="10" spans="1:4" ht="14.25" x14ac:dyDescent="0.2">
      <c r="A10" s="9"/>
      <c r="B10" s="9"/>
    </row>
    <row r="11" spans="1:4" ht="14.25" x14ac:dyDescent="0.2">
      <c r="A11" s="9"/>
      <c r="B11" s="9"/>
      <c r="C11" s="25"/>
    </row>
    <row r="12" spans="1:4" ht="14.25" x14ac:dyDescent="0.2">
      <c r="A12" s="9"/>
      <c r="B12" s="9"/>
    </row>
    <row r="13" spans="1:4" ht="14.25" x14ac:dyDescent="0.2">
      <c r="A13" s="9"/>
      <c r="B13" s="9"/>
    </row>
    <row r="14" spans="1:4" ht="14.25" x14ac:dyDescent="0.2">
      <c r="A14" s="9"/>
      <c r="B14" s="9"/>
    </row>
    <row r="15" spans="1:4" ht="14.25" x14ac:dyDescent="0.2">
      <c r="A15" s="9"/>
      <c r="B15" s="9"/>
    </row>
    <row r="16" spans="1:4" ht="14.25" x14ac:dyDescent="0.2">
      <c r="A16" s="9"/>
      <c r="B16" s="9"/>
    </row>
    <row r="17" spans="1:4" ht="14.25" x14ac:dyDescent="0.2">
      <c r="A17" s="9"/>
      <c r="B17" s="9"/>
    </row>
    <row r="18" spans="1:4" ht="14.25" x14ac:dyDescent="0.2">
      <c r="A18" s="9"/>
      <c r="B18" s="9"/>
    </row>
    <row r="19" spans="1:4" ht="14.25" x14ac:dyDescent="0.2">
      <c r="A19" s="9"/>
      <c r="B19" s="9"/>
      <c r="C19" s="21"/>
    </row>
    <row r="20" spans="1:4" ht="14.25" x14ac:dyDescent="0.2">
      <c r="A20" s="9"/>
      <c r="B20" s="9"/>
    </row>
    <row r="21" spans="1:4" ht="14.25" x14ac:dyDescent="0.2">
      <c r="A21" s="9"/>
      <c r="B21" s="9"/>
    </row>
    <row r="22" spans="1:4" ht="14.25" x14ac:dyDescent="0.2">
      <c r="A22" s="9"/>
      <c r="B22" s="9"/>
    </row>
    <row r="23" spans="1:4" ht="14.25" x14ac:dyDescent="0.2">
      <c r="A23" s="9"/>
      <c r="B23" s="9"/>
      <c r="C23" s="25"/>
    </row>
    <row r="24" spans="1:4" ht="14.25" x14ac:dyDescent="0.2">
      <c r="A24" s="9"/>
      <c r="B24" s="9"/>
    </row>
    <row r="25" spans="1:4" ht="14.25" x14ac:dyDescent="0.2">
      <c r="A25" s="9"/>
      <c r="B25" s="9"/>
    </row>
    <row r="26" spans="1:4" ht="14.25" x14ac:dyDescent="0.2">
      <c r="A26" s="9"/>
      <c r="B26" s="9"/>
      <c r="C26" s="21"/>
    </row>
    <row r="27" spans="1:4" ht="14.25" x14ac:dyDescent="0.2">
      <c r="A27" s="9"/>
      <c r="B27" s="9"/>
      <c r="C27" s="21"/>
      <c r="D27" s="26"/>
    </row>
    <row r="28" spans="1:4" ht="14.25" x14ac:dyDescent="0.2">
      <c r="A28" s="9"/>
      <c r="B28" s="9"/>
    </row>
    <row r="29" spans="1:4" ht="14.25" x14ac:dyDescent="0.2">
      <c r="A29" s="9"/>
      <c r="B29" s="9"/>
    </row>
    <row r="30" spans="1:4" ht="14.25" x14ac:dyDescent="0.2">
      <c r="A30" s="9"/>
      <c r="B30" s="9"/>
    </row>
    <row r="31" spans="1:4" ht="14.25" x14ac:dyDescent="0.2">
      <c r="A31" s="9"/>
      <c r="B31" s="9"/>
    </row>
    <row r="32" spans="1:4" ht="14.25" x14ac:dyDescent="0.2">
      <c r="A32" s="9"/>
      <c r="B32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workbookViewId="0">
      <selection activeCell="F21" sqref="F21"/>
    </sheetView>
  </sheetViews>
  <sheetFormatPr defaultRowHeight="12.75" x14ac:dyDescent="0.2"/>
  <cols>
    <col min="1" max="1" width="6.28515625" bestFit="1" customWidth="1"/>
    <col min="2" max="2" width="8.5703125" bestFit="1" customWidth="1"/>
    <col min="3" max="3" width="18.28515625" bestFit="1" customWidth="1"/>
    <col min="4" max="4" width="5" bestFit="1" customWidth="1"/>
    <col min="5" max="6" width="11.7109375" bestFit="1" customWidth="1"/>
    <col min="7" max="7" width="9.42578125" customWidth="1"/>
    <col min="9" max="9" width="77.42578125" bestFit="1" customWidth="1"/>
  </cols>
  <sheetData>
    <row r="1" spans="1:9" x14ac:dyDescent="0.2">
      <c r="I1" s="64" t="s">
        <v>264</v>
      </c>
    </row>
    <row r="2" spans="1:9" x14ac:dyDescent="0.2">
      <c r="A2" s="75" t="s">
        <v>279</v>
      </c>
      <c r="B2" s="76" t="s">
        <v>283</v>
      </c>
      <c r="C2" t="s">
        <v>282</v>
      </c>
      <c r="I2" s="64" t="s">
        <v>265</v>
      </c>
    </row>
    <row r="3" spans="1:9" x14ac:dyDescent="0.2">
      <c r="A3" s="63">
        <v>1</v>
      </c>
      <c r="B3" s="77" t="s">
        <v>262</v>
      </c>
      <c r="C3">
        <v>1835</v>
      </c>
      <c r="I3" s="64" t="s">
        <v>266</v>
      </c>
    </row>
    <row r="4" spans="1:9" x14ac:dyDescent="0.2">
      <c r="A4" s="4">
        <v>2</v>
      </c>
      <c r="B4" s="77" t="s">
        <v>263</v>
      </c>
      <c r="C4">
        <v>1740</v>
      </c>
    </row>
    <row r="5" spans="1:9" x14ac:dyDescent="0.2">
      <c r="A5" s="61"/>
    </row>
    <row r="6" spans="1:9" x14ac:dyDescent="0.2">
      <c r="A6" s="61"/>
    </row>
    <row r="7" spans="1:9" x14ac:dyDescent="0.2">
      <c r="A7" s="61"/>
    </row>
    <row r="8" spans="1:9" x14ac:dyDescent="0.2">
      <c r="A8" s="61"/>
    </row>
    <row r="9" spans="1:9" x14ac:dyDescent="0.2">
      <c r="A9" s="61"/>
    </row>
    <row r="10" spans="1:9" x14ac:dyDescent="0.2">
      <c r="A10" s="61"/>
    </row>
    <row r="11" spans="1:9" x14ac:dyDescent="0.2">
      <c r="A11" s="61"/>
    </row>
    <row r="12" spans="1:9" x14ac:dyDescent="0.2">
      <c r="A12" s="62"/>
    </row>
    <row r="13" spans="1:9" x14ac:dyDescent="0.2">
      <c r="A13" s="61"/>
    </row>
    <row r="14" spans="1:9" x14ac:dyDescent="0.2">
      <c r="A14" s="61"/>
    </row>
    <row r="15" spans="1:9" x14ac:dyDescent="0.2">
      <c r="A15" s="61"/>
    </row>
    <row r="16" spans="1:9" x14ac:dyDescent="0.2">
      <c r="A16" s="61"/>
    </row>
    <row r="17" spans="1:4" x14ac:dyDescent="0.2">
      <c r="A17" s="61"/>
    </row>
    <row r="18" spans="1:4" x14ac:dyDescent="0.2">
      <c r="A18" s="61"/>
    </row>
    <row r="19" spans="1:4" x14ac:dyDescent="0.2">
      <c r="A19" s="61"/>
    </row>
    <row r="20" spans="1:4" x14ac:dyDescent="0.2">
      <c r="A20" s="61"/>
      <c r="D20" s="26"/>
    </row>
    <row r="21" spans="1:4" x14ac:dyDescent="0.2">
      <c r="A21" s="61"/>
    </row>
    <row r="22" spans="1:4" x14ac:dyDescent="0.2">
      <c r="A22" s="61"/>
    </row>
    <row r="23" spans="1:4" x14ac:dyDescent="0.2">
      <c r="A23" s="61"/>
      <c r="D23" s="26"/>
    </row>
    <row r="24" spans="1:4" x14ac:dyDescent="0.2">
      <c r="A24" s="61"/>
    </row>
    <row r="25" spans="1:4" x14ac:dyDescent="0.2">
      <c r="A25" s="61"/>
    </row>
    <row r="26" spans="1:4" x14ac:dyDescent="0.2">
      <c r="A26" s="61"/>
    </row>
    <row r="27" spans="1:4" x14ac:dyDescent="0.2">
      <c r="A27" s="61"/>
    </row>
    <row r="28" spans="1:4" x14ac:dyDescent="0.2">
      <c r="A28" s="61"/>
    </row>
    <row r="29" spans="1:4" x14ac:dyDescent="0.2">
      <c r="A29" s="61"/>
    </row>
    <row r="30" spans="1:4" x14ac:dyDescent="0.2">
      <c r="A30" s="61"/>
    </row>
    <row r="31" spans="1:4" x14ac:dyDescent="0.2">
      <c r="A31" s="61"/>
    </row>
    <row r="32" spans="1:4" x14ac:dyDescent="0.2">
      <c r="A32" s="61"/>
    </row>
    <row r="33" spans="1:4" x14ac:dyDescent="0.2">
      <c r="A33" s="61"/>
    </row>
    <row r="34" spans="1:4" x14ac:dyDescent="0.2">
      <c r="A34" s="61"/>
      <c r="D34" s="26"/>
    </row>
    <row r="35" spans="1:4" x14ac:dyDescent="0.2">
      <c r="A35" s="61"/>
    </row>
    <row r="36" spans="1:4" x14ac:dyDescent="0.2">
      <c r="A36" s="61"/>
    </row>
    <row r="37" spans="1:4" x14ac:dyDescent="0.2">
      <c r="A37" s="61"/>
    </row>
    <row r="38" spans="1:4" x14ac:dyDescent="0.2">
      <c r="A38" s="61"/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F55B-B9BB-4B4B-BA47-545B70800AD7}">
  <dimension ref="A1:H68"/>
  <sheetViews>
    <sheetView workbookViewId="0">
      <selection activeCell="C9" sqref="C9:C10"/>
    </sheetView>
  </sheetViews>
  <sheetFormatPr defaultRowHeight="12.75" x14ac:dyDescent="0.2"/>
  <cols>
    <col min="1" max="1" width="3" bestFit="1" customWidth="1"/>
    <col min="2" max="2" width="37.42578125" customWidth="1"/>
    <col min="3" max="3" width="27.85546875" customWidth="1"/>
    <col min="7" max="7" width="35" customWidth="1"/>
    <col min="8" max="8" width="26.42578125" customWidth="1"/>
  </cols>
  <sheetData>
    <row r="1" spans="1:8" ht="15" x14ac:dyDescent="0.2">
      <c r="A1" s="5"/>
      <c r="B1" s="13" t="s">
        <v>36</v>
      </c>
      <c r="C1" s="78" t="s">
        <v>263</v>
      </c>
      <c r="D1" s="5"/>
      <c r="E1" s="5"/>
      <c r="F1" s="5"/>
      <c r="G1" s="5"/>
      <c r="H1" s="5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x14ac:dyDescent="0.2">
      <c r="A3" s="5"/>
      <c r="B3" s="15" t="s">
        <v>37</v>
      </c>
      <c r="C3" s="15" t="s">
        <v>38</v>
      </c>
      <c r="D3" s="15" t="s">
        <v>39</v>
      </c>
      <c r="E3" s="5"/>
      <c r="F3" s="5"/>
      <c r="G3" s="15" t="s">
        <v>40</v>
      </c>
      <c r="H3" s="15" t="s">
        <v>38</v>
      </c>
    </row>
    <row r="4" spans="1:8" x14ac:dyDescent="0.2">
      <c r="A4" s="5">
        <v>1</v>
      </c>
      <c r="B4" s="14" t="s">
        <v>33</v>
      </c>
      <c r="C4" s="71" t="s">
        <v>61</v>
      </c>
      <c r="D4" s="15">
        <f>VLOOKUP(B4,'point distribution'!$A$1:$Z$197,24,0)</f>
        <v>615</v>
      </c>
      <c r="E4" s="5"/>
      <c r="F4" s="5"/>
      <c r="G4" s="14"/>
      <c r="H4" s="71" t="s">
        <v>61</v>
      </c>
    </row>
    <row r="5" spans="1:8" x14ac:dyDescent="0.2">
      <c r="A5" s="5">
        <v>2</v>
      </c>
      <c r="B5" s="27" t="s">
        <v>35</v>
      </c>
      <c r="C5" s="71" t="s">
        <v>62</v>
      </c>
      <c r="D5" s="15">
        <f>VLOOKUP(B5,'point distribution'!$A$1:$Z$197,24,0)</f>
        <v>309</v>
      </c>
      <c r="E5" s="5"/>
      <c r="F5" s="5"/>
      <c r="G5" s="27"/>
      <c r="H5" s="71" t="s">
        <v>62</v>
      </c>
    </row>
    <row r="6" spans="1:8" x14ac:dyDescent="0.2">
      <c r="A6" s="5">
        <v>3</v>
      </c>
      <c r="B6" s="14" t="s">
        <v>82</v>
      </c>
      <c r="C6" s="71" t="s">
        <v>63</v>
      </c>
      <c r="D6" s="15">
        <f>VLOOKUP(B6,'point distribution'!$A$1:$Z$197,24,0)</f>
        <v>41</v>
      </c>
      <c r="E6" s="5"/>
      <c r="F6" s="5"/>
      <c r="G6" s="14"/>
      <c r="H6" s="71" t="s">
        <v>63</v>
      </c>
    </row>
    <row r="7" spans="1:8" x14ac:dyDescent="0.2">
      <c r="A7" s="5">
        <v>4</v>
      </c>
      <c r="B7" s="14" t="s">
        <v>105</v>
      </c>
      <c r="C7" s="71" t="s">
        <v>64</v>
      </c>
      <c r="D7" s="15">
        <f>VLOOKUP(B7,'point distribution'!$A$1:$Z$197,24,0)</f>
        <v>2</v>
      </c>
      <c r="E7" s="5"/>
      <c r="F7" s="5"/>
      <c r="G7" s="14"/>
      <c r="H7" s="71" t="s">
        <v>64</v>
      </c>
    </row>
    <row r="8" spans="1:8" x14ac:dyDescent="0.2">
      <c r="A8" s="5">
        <v>5</v>
      </c>
      <c r="B8" s="14" t="s">
        <v>84</v>
      </c>
      <c r="C8" s="71" t="s">
        <v>65</v>
      </c>
      <c r="D8" s="15">
        <f>VLOOKUP(B8,'point distribution'!$A$1:$Z$197,24,0)</f>
        <v>49</v>
      </c>
      <c r="E8" s="5"/>
      <c r="F8" s="5"/>
      <c r="G8" s="14"/>
      <c r="H8" s="71" t="s">
        <v>65</v>
      </c>
    </row>
    <row r="9" spans="1:8" x14ac:dyDescent="0.2">
      <c r="A9" s="5">
        <v>6</v>
      </c>
      <c r="B9" s="14" t="s">
        <v>85</v>
      </c>
      <c r="C9" s="71" t="s">
        <v>66</v>
      </c>
      <c r="D9" s="15">
        <f>VLOOKUP(B9,'point distribution'!$A$1:$Z$197,24,0)</f>
        <v>14</v>
      </c>
      <c r="E9" s="5"/>
      <c r="F9" s="5"/>
      <c r="G9" s="14"/>
      <c r="H9" s="71" t="s">
        <v>66</v>
      </c>
    </row>
    <row r="10" spans="1:8" x14ac:dyDescent="0.2">
      <c r="A10" s="5">
        <v>7</v>
      </c>
      <c r="B10" s="14" t="s">
        <v>200</v>
      </c>
      <c r="C10" s="71" t="s">
        <v>2</v>
      </c>
      <c r="D10" s="15">
        <f>VLOOKUP(B10,'point distribution'!$A$1:$Z$197,24,0)</f>
        <v>0</v>
      </c>
      <c r="E10" s="5"/>
      <c r="F10" s="5"/>
      <c r="G10" s="14"/>
      <c r="H10" s="71" t="s">
        <v>2</v>
      </c>
    </row>
    <row r="11" spans="1:8" x14ac:dyDescent="0.2">
      <c r="A11" s="5">
        <v>8</v>
      </c>
      <c r="B11" s="14" t="s">
        <v>32</v>
      </c>
      <c r="C11" s="71" t="s">
        <v>67</v>
      </c>
      <c r="D11" s="15">
        <f>VLOOKUP(B11,'point distribution'!$A$1:$Z$197,24,0)</f>
        <v>55</v>
      </c>
      <c r="E11" s="5"/>
      <c r="F11" s="5"/>
      <c r="G11" s="14"/>
      <c r="H11" s="71" t="s">
        <v>67</v>
      </c>
    </row>
    <row r="12" spans="1:8" x14ac:dyDescent="0.2">
      <c r="A12" s="5">
        <v>9</v>
      </c>
      <c r="B12" s="14" t="s">
        <v>87</v>
      </c>
      <c r="C12" s="71" t="s">
        <v>68</v>
      </c>
      <c r="D12" s="15">
        <f>VLOOKUP(B12,'point distribution'!$A$1:$Z$197,24,0)</f>
        <v>236</v>
      </c>
      <c r="E12" s="5"/>
      <c r="F12" s="5"/>
      <c r="G12" s="14"/>
      <c r="H12" s="71" t="s">
        <v>68</v>
      </c>
    </row>
    <row r="13" spans="1:8" x14ac:dyDescent="0.2">
      <c r="A13" s="5">
        <v>10</v>
      </c>
      <c r="B13" s="14" t="s">
        <v>157</v>
      </c>
      <c r="C13" s="71" t="s">
        <v>69</v>
      </c>
      <c r="D13" s="15">
        <f>VLOOKUP(B13,'point distribution'!$A$1:$Z$197,24,0)</f>
        <v>24</v>
      </c>
      <c r="E13" s="5"/>
      <c r="F13" s="5"/>
      <c r="G13" s="14"/>
      <c r="H13" s="71" t="s">
        <v>69</v>
      </c>
    </row>
    <row r="14" spans="1:8" x14ac:dyDescent="0.2">
      <c r="A14" s="5">
        <v>11</v>
      </c>
      <c r="B14" s="14" t="s">
        <v>89</v>
      </c>
      <c r="C14" s="71" t="s">
        <v>70</v>
      </c>
      <c r="D14" s="15">
        <f>VLOOKUP(B14,'point distribution'!$A$1:$Z$197,24,0)</f>
        <v>38</v>
      </c>
      <c r="E14" s="5"/>
      <c r="F14" s="5"/>
      <c r="G14" s="14"/>
      <c r="H14" s="71" t="s">
        <v>70</v>
      </c>
    </row>
    <row r="15" spans="1:8" x14ac:dyDescent="0.2">
      <c r="A15" s="5">
        <v>12</v>
      </c>
      <c r="B15" s="14" t="s">
        <v>90</v>
      </c>
      <c r="C15" s="71" t="s">
        <v>71</v>
      </c>
      <c r="D15" s="15">
        <f>VLOOKUP(B15,'point distribution'!$A$1:$Z$197,24,0)</f>
        <v>24</v>
      </c>
      <c r="E15" s="5"/>
      <c r="F15" s="5"/>
      <c r="G15" s="14"/>
      <c r="H15" s="71" t="s">
        <v>71</v>
      </c>
    </row>
    <row r="16" spans="1:8" x14ac:dyDescent="0.2">
      <c r="A16" s="5">
        <v>13</v>
      </c>
      <c r="B16" s="14" t="s">
        <v>160</v>
      </c>
      <c r="C16" s="71" t="s">
        <v>72</v>
      </c>
      <c r="D16" s="15">
        <f>VLOOKUP(B16,'point distribution'!$A$1:$Z$197,24,0)</f>
        <v>0</v>
      </c>
      <c r="E16" s="5"/>
      <c r="F16" s="5"/>
      <c r="G16" s="14"/>
      <c r="H16" s="71" t="s">
        <v>72</v>
      </c>
    </row>
    <row r="17" spans="1:8" x14ac:dyDescent="0.2">
      <c r="A17" s="5">
        <v>14</v>
      </c>
      <c r="B17" s="14" t="s">
        <v>138</v>
      </c>
      <c r="C17" s="71" t="s">
        <v>73</v>
      </c>
      <c r="D17" s="15">
        <f>VLOOKUP(B17,'point distribution'!$A$1:$Z$197,24,0)</f>
        <v>0</v>
      </c>
      <c r="E17" s="5"/>
      <c r="F17" s="5"/>
      <c r="G17" s="14"/>
      <c r="H17" s="71" t="s">
        <v>73</v>
      </c>
    </row>
    <row r="18" spans="1:8" x14ac:dyDescent="0.2">
      <c r="A18" s="5">
        <v>15</v>
      </c>
      <c r="B18" s="14" t="s">
        <v>93</v>
      </c>
      <c r="C18" s="71" t="s">
        <v>74</v>
      </c>
      <c r="D18" s="15">
        <f>VLOOKUP(B18,'point distribution'!$A$1:$Z$197,24,0)</f>
        <v>4</v>
      </c>
      <c r="E18" s="5"/>
      <c r="F18" s="5"/>
      <c r="G18" s="14"/>
      <c r="H18" s="71" t="s">
        <v>74</v>
      </c>
    </row>
    <row r="19" spans="1:8" x14ac:dyDescent="0.2">
      <c r="A19" s="5">
        <v>16</v>
      </c>
      <c r="B19" s="14" t="s">
        <v>94</v>
      </c>
      <c r="C19" s="71" t="s">
        <v>75</v>
      </c>
      <c r="D19" s="15">
        <f>VLOOKUP(B19,'point distribution'!$A$1:$Z$197,24,0)</f>
        <v>99</v>
      </c>
      <c r="E19" s="5"/>
      <c r="F19" s="5"/>
      <c r="G19" s="14"/>
      <c r="H19" s="71" t="s">
        <v>75</v>
      </c>
    </row>
    <row r="20" spans="1:8" x14ac:dyDescent="0.2">
      <c r="A20" s="5">
        <v>17</v>
      </c>
      <c r="B20" s="14" t="s">
        <v>141</v>
      </c>
      <c r="C20" s="71" t="s">
        <v>1</v>
      </c>
      <c r="D20" s="15">
        <f>VLOOKUP(B20,'point distribution'!$A$1:$Z$197,24,0)</f>
        <v>4</v>
      </c>
      <c r="E20" s="5"/>
      <c r="F20" s="5"/>
      <c r="G20" s="14"/>
      <c r="H20" s="71" t="s">
        <v>1</v>
      </c>
    </row>
    <row r="21" spans="1:8" x14ac:dyDescent="0.2">
      <c r="A21" s="5">
        <v>18</v>
      </c>
      <c r="B21" s="14" t="s">
        <v>234</v>
      </c>
      <c r="C21" s="71" t="s">
        <v>76</v>
      </c>
      <c r="D21" s="15">
        <f>VLOOKUP(B21,'point distribution'!$A$1:$Z$197,24,0)</f>
        <v>2</v>
      </c>
      <c r="E21" s="5"/>
      <c r="F21" s="5"/>
      <c r="G21" s="14"/>
      <c r="H21" s="71" t="s">
        <v>76</v>
      </c>
    </row>
    <row r="22" spans="1:8" x14ac:dyDescent="0.2">
      <c r="A22" s="5">
        <v>20</v>
      </c>
      <c r="B22" s="14" t="s">
        <v>120</v>
      </c>
      <c r="C22" s="71" t="s">
        <v>77</v>
      </c>
      <c r="D22" s="15">
        <f>VLOOKUP(B22,'point distribution'!$A$1:$Z$197,24,0)</f>
        <v>3</v>
      </c>
      <c r="E22" s="5"/>
      <c r="F22" s="5"/>
      <c r="G22" s="14"/>
      <c r="H22" s="71" t="s">
        <v>77</v>
      </c>
    </row>
    <row r="23" spans="1:8" x14ac:dyDescent="0.2">
      <c r="A23" s="5">
        <v>21</v>
      </c>
      <c r="B23" s="14" t="s">
        <v>98</v>
      </c>
      <c r="C23" s="71" t="s">
        <v>78</v>
      </c>
      <c r="D23" s="15">
        <f>VLOOKUP(B23,'point distribution'!$A$1:$Z$197,24,0)</f>
        <v>147</v>
      </c>
      <c r="E23" s="5"/>
      <c r="F23" s="5"/>
      <c r="G23" s="14"/>
      <c r="H23" s="71" t="s">
        <v>78</v>
      </c>
    </row>
    <row r="24" spans="1:8" x14ac:dyDescent="0.2">
      <c r="A24" s="5">
        <v>22</v>
      </c>
      <c r="B24" s="14" t="s">
        <v>259</v>
      </c>
      <c r="C24" s="71" t="s">
        <v>79</v>
      </c>
      <c r="D24" s="15">
        <f>VLOOKUP(B24,'point distribution'!$A$1:$Z$197,24,0)</f>
        <v>5</v>
      </c>
      <c r="E24" s="5"/>
      <c r="F24" s="5"/>
      <c r="G24" s="14"/>
      <c r="H24" s="71" t="s">
        <v>79</v>
      </c>
    </row>
    <row r="25" spans="1:8" x14ac:dyDescent="0.2">
      <c r="A25" s="5">
        <v>23</v>
      </c>
      <c r="B25" s="14" t="s">
        <v>238</v>
      </c>
      <c r="C25" s="71" t="s">
        <v>80</v>
      </c>
      <c r="D25" s="15">
        <f>VLOOKUP(B25,'point distribution'!$A$1:$Z$197,24,0)</f>
        <v>0</v>
      </c>
      <c r="E25" s="5"/>
      <c r="F25" s="5"/>
      <c r="G25" s="14"/>
      <c r="H25" s="71" t="s">
        <v>80</v>
      </c>
    </row>
    <row r="26" spans="1:8" x14ac:dyDescent="0.2">
      <c r="A26" s="5">
        <v>24</v>
      </c>
      <c r="B26" s="14" t="s">
        <v>101</v>
      </c>
      <c r="C26" s="71" t="s">
        <v>81</v>
      </c>
      <c r="D26" s="15">
        <f>VLOOKUP(B26,'point distribution'!$A$1:$Z$197,24,0)</f>
        <v>69</v>
      </c>
      <c r="E26" s="5"/>
      <c r="F26" s="5"/>
      <c r="G26" s="14"/>
      <c r="H26" s="71" t="s">
        <v>81</v>
      </c>
    </row>
    <row r="27" spans="1:8" x14ac:dyDescent="0.2">
      <c r="A27" s="5"/>
      <c r="D27" s="5"/>
      <c r="E27" s="5"/>
      <c r="F27" s="5"/>
      <c r="G27" s="5"/>
      <c r="H27" s="5"/>
    </row>
    <row r="28" spans="1:8" x14ac:dyDescent="0.2">
      <c r="A28" s="5"/>
      <c r="B28" s="17" t="s">
        <v>26</v>
      </c>
      <c r="C28" s="5"/>
      <c r="D28" s="5"/>
      <c r="E28" s="5"/>
      <c r="F28" s="5"/>
      <c r="G28" s="5"/>
      <c r="H28" s="5"/>
    </row>
    <row r="29" spans="1:8" x14ac:dyDescent="0.2">
      <c r="A29" s="5"/>
      <c r="B29" s="18" t="s">
        <v>27</v>
      </c>
      <c r="C29" s="27"/>
      <c r="D29" s="15"/>
      <c r="E29" s="5"/>
      <c r="F29" s="5"/>
      <c r="G29" s="5"/>
      <c r="H29" s="5"/>
    </row>
    <row r="30" spans="1:8" x14ac:dyDescent="0.2">
      <c r="A30" s="5"/>
      <c r="B30" s="19" t="s">
        <v>28</v>
      </c>
      <c r="C30" s="27"/>
      <c r="D30" s="15"/>
      <c r="E30" s="5"/>
      <c r="F30" s="5"/>
      <c r="G30" s="5"/>
      <c r="H30" s="5"/>
    </row>
    <row r="31" spans="1:8" x14ac:dyDescent="0.2">
      <c r="A31" s="5"/>
      <c r="B31" s="19" t="s">
        <v>20</v>
      </c>
      <c r="C31" s="27"/>
      <c r="D31" s="15"/>
      <c r="E31" s="5"/>
      <c r="F31" s="5"/>
      <c r="G31" s="5"/>
      <c r="H31" s="5"/>
    </row>
    <row r="32" spans="1:8" x14ac:dyDescent="0.2">
      <c r="A32" s="5"/>
      <c r="B32" s="19" t="s">
        <v>29</v>
      </c>
      <c r="C32" s="27"/>
      <c r="D32" s="15"/>
      <c r="E32" s="5"/>
      <c r="F32" s="5"/>
      <c r="G32" s="5"/>
      <c r="H32" s="5"/>
    </row>
    <row r="33" spans="1:8" ht="13.5" thickBot="1" x14ac:dyDescent="0.25">
      <c r="A33" s="5"/>
      <c r="B33" s="17"/>
      <c r="C33" s="5"/>
      <c r="D33" s="5"/>
      <c r="E33" s="5"/>
      <c r="F33" s="5"/>
      <c r="G33" s="5"/>
      <c r="H33" s="5"/>
    </row>
    <row r="34" spans="1:8" ht="13.5" thickBot="1" x14ac:dyDescent="0.25">
      <c r="A34" s="5"/>
      <c r="D34" s="28">
        <f>SUM(D4:D26)</f>
        <v>1740</v>
      </c>
      <c r="E34" s="5" t="s">
        <v>41</v>
      </c>
      <c r="F34" s="5"/>
      <c r="G34" s="5"/>
      <c r="H34" s="5"/>
    </row>
    <row r="35" spans="1:8" x14ac:dyDescent="0.2">
      <c r="A35" s="5"/>
      <c r="B35" s="17" t="s">
        <v>42</v>
      </c>
      <c r="C35" s="5"/>
      <c r="D35" s="5"/>
      <c r="E35" s="5"/>
      <c r="F35" s="5"/>
      <c r="G35" s="5"/>
      <c r="H35" s="5"/>
    </row>
    <row r="36" spans="1:8" x14ac:dyDescent="0.2">
      <c r="A36" s="5"/>
      <c r="B36" s="16" t="s">
        <v>43</v>
      </c>
      <c r="C36" s="27">
        <v>4</v>
      </c>
      <c r="D36" s="5"/>
      <c r="E36" s="5"/>
      <c r="F36" s="5"/>
      <c r="G36" s="5"/>
      <c r="H36" s="5"/>
    </row>
    <row r="37" spans="1:8" x14ac:dyDescent="0.2">
      <c r="A37" s="5"/>
      <c r="B37" s="15" t="s">
        <v>44</v>
      </c>
      <c r="C37" s="14">
        <v>42</v>
      </c>
      <c r="D37" s="5"/>
      <c r="E37" s="5"/>
      <c r="F37" s="5"/>
      <c r="G37" s="5"/>
      <c r="H37" s="5"/>
    </row>
    <row r="38" spans="1:8" x14ac:dyDescent="0.2">
      <c r="A38" s="5"/>
      <c r="B38" s="15" t="s">
        <v>45</v>
      </c>
      <c r="C38" s="14">
        <v>6</v>
      </c>
      <c r="D38" s="5"/>
      <c r="E38" s="5"/>
      <c r="F38" s="5"/>
      <c r="G38" s="5"/>
      <c r="H38" s="5"/>
    </row>
    <row r="39" spans="1:8" x14ac:dyDescent="0.2">
      <c r="A39" s="5"/>
      <c r="B39" s="5"/>
      <c r="C39" s="5"/>
      <c r="D39" s="5"/>
      <c r="E39" s="5"/>
      <c r="F39" s="5"/>
      <c r="G39" s="5"/>
      <c r="H39" s="5"/>
    </row>
    <row r="40" spans="1:8" x14ac:dyDescent="0.2">
      <c r="A40" s="5"/>
      <c r="B40" s="5"/>
      <c r="C40" s="5"/>
      <c r="D40" s="5"/>
      <c r="E40" s="5"/>
      <c r="F40" s="5"/>
      <c r="G40" s="5"/>
      <c r="H40" s="5"/>
    </row>
    <row r="41" spans="1:8" x14ac:dyDescent="0.2">
      <c r="A41" s="5"/>
      <c r="B41" s="5"/>
      <c r="C41" s="5"/>
      <c r="D41" s="5"/>
      <c r="E41" s="5"/>
      <c r="F41" s="5"/>
      <c r="G41" s="5"/>
      <c r="H41" s="5"/>
    </row>
    <row r="42" spans="1:8" x14ac:dyDescent="0.2">
      <c r="A42" s="5"/>
      <c r="B42" s="5"/>
      <c r="C42" s="5"/>
      <c r="D42" s="5"/>
      <c r="E42" s="5"/>
      <c r="F42" s="5"/>
      <c r="G42" s="5"/>
      <c r="H42" s="5"/>
    </row>
    <row r="43" spans="1:8" x14ac:dyDescent="0.2">
      <c r="A43" s="5"/>
      <c r="B43" s="5"/>
      <c r="C43" s="5"/>
      <c r="D43" s="5"/>
      <c r="E43" s="5"/>
      <c r="F43" s="5"/>
      <c r="G43" s="5"/>
      <c r="H43" s="5"/>
    </row>
    <row r="44" spans="1:8" x14ac:dyDescent="0.2">
      <c r="A44" s="5"/>
      <c r="B44" s="5"/>
      <c r="C44" s="5"/>
      <c r="D44" s="5"/>
      <c r="E44" s="5"/>
      <c r="F44" s="5"/>
      <c r="G44" s="5"/>
      <c r="H44" s="5"/>
    </row>
    <row r="45" spans="1:8" x14ac:dyDescent="0.2">
      <c r="A45" s="5"/>
      <c r="B45" s="5"/>
      <c r="C45" s="5"/>
      <c r="D45" s="5"/>
      <c r="E45" s="5"/>
      <c r="F45" s="5"/>
      <c r="G45" s="5"/>
      <c r="H45" s="5"/>
    </row>
    <row r="46" spans="1:8" x14ac:dyDescent="0.2">
      <c r="A46" s="5"/>
      <c r="B46" s="5"/>
      <c r="C46" s="5"/>
      <c r="D46" s="5"/>
      <c r="E46" s="5"/>
      <c r="F46" s="5"/>
      <c r="G46" s="5"/>
      <c r="H46" s="5"/>
    </row>
    <row r="47" spans="1:8" x14ac:dyDescent="0.2">
      <c r="A47" s="5"/>
      <c r="B47" s="5"/>
      <c r="C47" s="5"/>
      <c r="D47" s="5"/>
      <c r="E47" s="5"/>
      <c r="F47" s="5"/>
      <c r="G47" s="5"/>
      <c r="H47" s="5"/>
    </row>
    <row r="48" spans="1:8" x14ac:dyDescent="0.2">
      <c r="A48" s="5"/>
      <c r="B48" s="5"/>
      <c r="C48" s="5"/>
      <c r="D48" s="5"/>
      <c r="E48" s="5"/>
      <c r="F48" s="5"/>
      <c r="G48" s="5"/>
      <c r="H48" s="5"/>
    </row>
    <row r="49" spans="1:8" x14ac:dyDescent="0.2">
      <c r="A49" s="5"/>
      <c r="B49" s="5"/>
      <c r="C49" s="5"/>
      <c r="D49" s="5"/>
      <c r="E49" s="5"/>
      <c r="F49" s="5"/>
      <c r="G49" s="5"/>
      <c r="H49" s="5"/>
    </row>
    <row r="50" spans="1:8" x14ac:dyDescent="0.2">
      <c r="A50" s="5"/>
      <c r="B50" s="5"/>
      <c r="C50" s="5"/>
      <c r="D50" s="5"/>
      <c r="E50" s="5"/>
      <c r="F50" s="5"/>
      <c r="G50" s="5"/>
      <c r="H50" s="5"/>
    </row>
    <row r="51" spans="1:8" x14ac:dyDescent="0.2">
      <c r="A51" s="5"/>
      <c r="B51" s="5"/>
      <c r="C51" s="5"/>
      <c r="D51" s="5"/>
      <c r="E51" s="5"/>
      <c r="F51" s="5"/>
      <c r="G51" s="5"/>
      <c r="H51" s="5"/>
    </row>
    <row r="52" spans="1:8" x14ac:dyDescent="0.2">
      <c r="A52" s="5"/>
      <c r="B52" s="5"/>
      <c r="C52" s="5"/>
      <c r="D52" s="5"/>
      <c r="E52" s="5"/>
      <c r="F52" s="5"/>
      <c r="G52" s="5"/>
      <c r="H52" s="5"/>
    </row>
    <row r="53" spans="1:8" x14ac:dyDescent="0.2">
      <c r="A53" s="5"/>
      <c r="B53" s="5"/>
      <c r="C53" s="5"/>
      <c r="D53" s="5"/>
      <c r="E53" s="5"/>
      <c r="F53" s="5"/>
      <c r="G53" s="5"/>
      <c r="H53" s="5"/>
    </row>
    <row r="54" spans="1:8" x14ac:dyDescent="0.2">
      <c r="A54" s="5"/>
      <c r="B54" s="5"/>
      <c r="C54" s="5"/>
      <c r="D54" s="5"/>
      <c r="E54" s="5"/>
      <c r="F54" s="5"/>
      <c r="G54" s="5"/>
      <c r="H54" s="5"/>
    </row>
    <row r="55" spans="1:8" x14ac:dyDescent="0.2">
      <c r="A55" s="5"/>
      <c r="B55" s="5"/>
      <c r="C55" s="5"/>
      <c r="D55" s="5"/>
      <c r="E55" s="5"/>
      <c r="F55" s="5"/>
      <c r="G55" s="5"/>
      <c r="H55" s="5"/>
    </row>
    <row r="56" spans="1:8" x14ac:dyDescent="0.2">
      <c r="A56" s="5"/>
      <c r="B56" s="5"/>
      <c r="C56" s="5"/>
      <c r="D56" s="5"/>
      <c r="E56" s="5"/>
      <c r="F56" s="5"/>
      <c r="G56" s="5"/>
      <c r="H56" s="5"/>
    </row>
    <row r="57" spans="1:8" x14ac:dyDescent="0.2">
      <c r="A57" s="5"/>
      <c r="B57" s="5"/>
      <c r="C57" s="5"/>
      <c r="D57" s="5"/>
      <c r="E57" s="5"/>
      <c r="F57" s="5"/>
      <c r="G57" s="5"/>
      <c r="H57" s="5"/>
    </row>
    <row r="58" spans="1:8" x14ac:dyDescent="0.2">
      <c r="A58" s="5"/>
      <c r="B58" s="5"/>
      <c r="C58" s="5"/>
      <c r="D58" s="5"/>
      <c r="E58" s="5"/>
      <c r="F58" s="5"/>
      <c r="G58" s="5"/>
      <c r="H58" s="5"/>
    </row>
    <row r="59" spans="1:8" x14ac:dyDescent="0.2">
      <c r="A59" s="5"/>
      <c r="B59" s="5"/>
      <c r="C59" s="5"/>
      <c r="D59" s="5"/>
      <c r="E59" s="5"/>
      <c r="F59" s="5"/>
      <c r="G59" s="5"/>
      <c r="H59" s="5"/>
    </row>
    <row r="60" spans="1:8" x14ac:dyDescent="0.2">
      <c r="A60" s="5"/>
      <c r="B60" s="5"/>
      <c r="C60" s="5"/>
      <c r="D60" s="5"/>
      <c r="E60" s="5"/>
      <c r="F60" s="5"/>
      <c r="G60" s="5"/>
      <c r="H60" s="5"/>
    </row>
    <row r="61" spans="1:8" x14ac:dyDescent="0.2">
      <c r="A61" s="5"/>
      <c r="B61" s="5"/>
      <c r="C61" s="5"/>
      <c r="D61" s="5"/>
      <c r="E61" s="5"/>
      <c r="F61" s="5"/>
      <c r="G61" s="5"/>
      <c r="H61" s="5"/>
    </row>
    <row r="62" spans="1:8" x14ac:dyDescent="0.2">
      <c r="A62" s="5"/>
      <c r="B62" s="5"/>
      <c r="C62" s="5"/>
      <c r="D62" s="5"/>
      <c r="E62" s="5"/>
      <c r="F62" s="5"/>
      <c r="G62" s="5"/>
      <c r="H62" s="5"/>
    </row>
    <row r="63" spans="1:8" x14ac:dyDescent="0.2">
      <c r="A63" s="5"/>
      <c r="B63" s="5"/>
      <c r="C63" s="5"/>
      <c r="D63" s="5"/>
      <c r="E63" s="5"/>
      <c r="F63" s="5"/>
      <c r="G63" s="5"/>
      <c r="H63" s="5"/>
    </row>
    <row r="64" spans="1:8" x14ac:dyDescent="0.2">
      <c r="A64" s="5"/>
      <c r="B64" s="5"/>
      <c r="C64" s="5"/>
      <c r="D64" s="5"/>
      <c r="E64" s="5"/>
      <c r="F64" s="5"/>
      <c r="G64" s="5"/>
      <c r="H64" s="5"/>
    </row>
    <row r="65" spans="1:8" x14ac:dyDescent="0.2">
      <c r="A65" s="5"/>
      <c r="B65" s="5"/>
      <c r="C65" s="5"/>
      <c r="D65" s="5"/>
      <c r="E65" s="5"/>
      <c r="F65" s="5"/>
      <c r="G65" s="5"/>
      <c r="H65" s="5"/>
    </row>
    <row r="66" spans="1:8" x14ac:dyDescent="0.2">
      <c r="A66" s="5"/>
      <c r="B66" s="5"/>
      <c r="C66" s="5"/>
      <c r="D66" s="5"/>
      <c r="E66" s="5"/>
      <c r="F66" s="5"/>
      <c r="G66" s="5"/>
      <c r="H66" s="5"/>
    </row>
    <row r="67" spans="1:8" x14ac:dyDescent="0.2">
      <c r="A67" s="5"/>
      <c r="B67" s="5"/>
      <c r="C67" s="5"/>
      <c r="D67" s="5"/>
      <c r="E67" s="5"/>
      <c r="F67" s="5"/>
      <c r="G67" s="5"/>
      <c r="H67" s="5"/>
    </row>
    <row r="68" spans="1:8" x14ac:dyDescent="0.2">
      <c r="A68" s="5"/>
      <c r="B68" s="5"/>
      <c r="C68" s="5"/>
      <c r="D68" s="5"/>
      <c r="E68" s="5"/>
      <c r="F68" s="5"/>
      <c r="G68" s="5"/>
      <c r="H68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8"/>
  <sheetViews>
    <sheetView workbookViewId="0">
      <selection activeCell="C2" sqref="C2"/>
    </sheetView>
  </sheetViews>
  <sheetFormatPr defaultRowHeight="12.75" x14ac:dyDescent="0.2"/>
  <cols>
    <col min="1" max="1" width="3" bestFit="1" customWidth="1"/>
    <col min="2" max="2" width="37.42578125" customWidth="1"/>
    <col min="3" max="3" width="27.85546875" customWidth="1"/>
    <col min="7" max="7" width="35" customWidth="1"/>
    <col min="8" max="8" width="26.42578125" customWidth="1"/>
  </cols>
  <sheetData>
    <row r="1" spans="1:8" ht="15" x14ac:dyDescent="0.2">
      <c r="A1" s="5"/>
      <c r="B1" s="13" t="s">
        <v>36</v>
      </c>
      <c r="C1" s="78" t="s">
        <v>262</v>
      </c>
      <c r="D1" s="5"/>
      <c r="E1" s="5"/>
      <c r="F1" s="5"/>
      <c r="G1" s="5"/>
      <c r="H1" s="5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x14ac:dyDescent="0.2">
      <c r="A3" s="5"/>
      <c r="B3" s="15" t="s">
        <v>37</v>
      </c>
      <c r="C3" s="15" t="s">
        <v>38</v>
      </c>
      <c r="D3" s="15" t="s">
        <v>39</v>
      </c>
      <c r="E3" s="5"/>
      <c r="F3" s="5"/>
      <c r="G3" s="15" t="s">
        <v>40</v>
      </c>
      <c r="H3" s="15" t="s">
        <v>38</v>
      </c>
    </row>
    <row r="4" spans="1:8" x14ac:dyDescent="0.2">
      <c r="A4" s="5">
        <v>1</v>
      </c>
      <c r="B4" s="14" t="s">
        <v>33</v>
      </c>
      <c r="C4" s="71" t="s">
        <v>61</v>
      </c>
      <c r="D4" s="15">
        <f>VLOOKUP(B4,'point distribution'!$A$1:$Z$197,24,0)</f>
        <v>615</v>
      </c>
      <c r="E4" s="5"/>
      <c r="F4" s="5"/>
      <c r="G4" s="14"/>
      <c r="H4" s="71" t="s">
        <v>61</v>
      </c>
    </row>
    <row r="5" spans="1:8" x14ac:dyDescent="0.2">
      <c r="A5" s="5">
        <v>2</v>
      </c>
      <c r="B5" s="27" t="s">
        <v>35</v>
      </c>
      <c r="C5" s="71" t="s">
        <v>62</v>
      </c>
      <c r="D5" s="15">
        <f>VLOOKUP(B5,'point distribution'!$A$1:$Z$197,24,0)</f>
        <v>309</v>
      </c>
      <c r="E5" s="5"/>
      <c r="F5" s="5"/>
      <c r="G5" s="27"/>
      <c r="H5" s="71" t="s">
        <v>62</v>
      </c>
    </row>
    <row r="6" spans="1:8" x14ac:dyDescent="0.2">
      <c r="A6" s="5">
        <v>3</v>
      </c>
      <c r="B6" s="14" t="s">
        <v>82</v>
      </c>
      <c r="C6" s="71" t="s">
        <v>63</v>
      </c>
      <c r="D6" s="15">
        <f>VLOOKUP(B6,'point distribution'!$A$1:$Z$197,24,0)</f>
        <v>41</v>
      </c>
      <c r="E6" s="5"/>
      <c r="F6" s="5"/>
      <c r="G6" s="14"/>
      <c r="H6" s="71" t="s">
        <v>63</v>
      </c>
    </row>
    <row r="7" spans="1:8" x14ac:dyDescent="0.2">
      <c r="A7" s="5">
        <v>4</v>
      </c>
      <c r="B7" s="14" t="s">
        <v>83</v>
      </c>
      <c r="C7" s="71" t="s">
        <v>64</v>
      </c>
      <c r="D7" s="15">
        <f>VLOOKUP(B7,'point distribution'!$A$1:$Z$197,24,0)</f>
        <v>99</v>
      </c>
      <c r="E7" s="5"/>
      <c r="F7" s="5"/>
      <c r="G7" s="14"/>
      <c r="H7" s="71" t="s">
        <v>64</v>
      </c>
    </row>
    <row r="8" spans="1:8" x14ac:dyDescent="0.2">
      <c r="A8" s="5">
        <v>5</v>
      </c>
      <c r="B8" s="14" t="s">
        <v>84</v>
      </c>
      <c r="C8" s="71" t="s">
        <v>65</v>
      </c>
      <c r="D8" s="15">
        <f>VLOOKUP(B8,'point distribution'!$A$1:$Z$197,24,0)</f>
        <v>49</v>
      </c>
      <c r="E8" s="5"/>
      <c r="F8" s="5"/>
      <c r="G8" s="14"/>
      <c r="H8" s="71" t="s">
        <v>65</v>
      </c>
    </row>
    <row r="9" spans="1:8" x14ac:dyDescent="0.2">
      <c r="A9" s="5">
        <v>6</v>
      </c>
      <c r="B9" s="14" t="s">
        <v>85</v>
      </c>
      <c r="C9" s="71" t="s">
        <v>66</v>
      </c>
      <c r="D9" s="15">
        <f>VLOOKUP(B9,'point distribution'!$A$1:$Z$197,24,0)</f>
        <v>14</v>
      </c>
      <c r="E9" s="5"/>
      <c r="F9" s="5"/>
      <c r="G9" s="14"/>
      <c r="H9" s="71" t="s">
        <v>66</v>
      </c>
    </row>
    <row r="10" spans="1:8" x14ac:dyDescent="0.2">
      <c r="A10" s="5">
        <v>7</v>
      </c>
      <c r="B10" s="14" t="s">
        <v>200</v>
      </c>
      <c r="C10" s="71" t="s">
        <v>2</v>
      </c>
      <c r="D10" s="15">
        <f>VLOOKUP(B10,'point distribution'!$A$1:$Z$197,24,0)</f>
        <v>0</v>
      </c>
      <c r="E10" s="5"/>
      <c r="F10" s="5"/>
      <c r="G10" s="14"/>
      <c r="H10" s="71" t="s">
        <v>2</v>
      </c>
    </row>
    <row r="11" spans="1:8" x14ac:dyDescent="0.2">
      <c r="A11" s="5">
        <v>8</v>
      </c>
      <c r="B11" s="14" t="s">
        <v>32</v>
      </c>
      <c r="C11" s="71" t="s">
        <v>67</v>
      </c>
      <c r="D11" s="15">
        <f>VLOOKUP(B11,'point distribution'!$A$1:$Z$197,24,0)</f>
        <v>55</v>
      </c>
      <c r="E11" s="5"/>
      <c r="F11" s="5"/>
      <c r="G11" s="33"/>
      <c r="H11" s="71" t="s">
        <v>67</v>
      </c>
    </row>
    <row r="12" spans="1:8" x14ac:dyDescent="0.2">
      <c r="A12" s="5">
        <v>9</v>
      </c>
      <c r="B12" s="14" t="s">
        <v>87</v>
      </c>
      <c r="C12" s="71" t="s">
        <v>68</v>
      </c>
      <c r="D12" s="15">
        <f>VLOOKUP(B12,'point distribution'!$A$1:$Z$197,24,0)</f>
        <v>236</v>
      </c>
      <c r="E12" s="5"/>
      <c r="F12" s="5"/>
      <c r="G12" s="14"/>
      <c r="H12" s="71" t="s">
        <v>68</v>
      </c>
    </row>
    <row r="13" spans="1:8" x14ac:dyDescent="0.2">
      <c r="A13" s="5">
        <v>10</v>
      </c>
      <c r="B13" s="14" t="s">
        <v>157</v>
      </c>
      <c r="C13" s="71" t="s">
        <v>69</v>
      </c>
      <c r="D13" s="15">
        <f>VLOOKUP(B13,'point distribution'!$A$1:$Z$197,24,0)</f>
        <v>24</v>
      </c>
      <c r="E13" s="5"/>
      <c r="F13" s="5"/>
      <c r="G13" s="14"/>
      <c r="H13" s="71" t="s">
        <v>69</v>
      </c>
    </row>
    <row r="14" spans="1:8" x14ac:dyDescent="0.2">
      <c r="A14" s="5">
        <v>11</v>
      </c>
      <c r="B14" s="14" t="s">
        <v>204</v>
      </c>
      <c r="C14" s="71" t="s">
        <v>70</v>
      </c>
      <c r="D14" s="15">
        <f>VLOOKUP(B14,'point distribution'!$A$1:$Z$197,24,0)</f>
        <v>89</v>
      </c>
      <c r="E14" s="5"/>
      <c r="F14" s="5"/>
      <c r="G14" s="14"/>
      <c r="H14" s="71" t="s">
        <v>70</v>
      </c>
    </row>
    <row r="15" spans="1:8" x14ac:dyDescent="0.2">
      <c r="A15" s="5">
        <v>12</v>
      </c>
      <c r="B15" s="14" t="s">
        <v>90</v>
      </c>
      <c r="C15" s="71" t="s">
        <v>71</v>
      </c>
      <c r="D15" s="15">
        <f>VLOOKUP(B15,'point distribution'!$A$1:$Z$197,24,0)</f>
        <v>24</v>
      </c>
      <c r="E15" s="5"/>
      <c r="F15" s="5"/>
      <c r="G15" s="14"/>
      <c r="H15" s="71" t="s">
        <v>71</v>
      </c>
    </row>
    <row r="16" spans="1:8" x14ac:dyDescent="0.2">
      <c r="A16" s="5">
        <v>13</v>
      </c>
      <c r="B16" s="14" t="s">
        <v>160</v>
      </c>
      <c r="C16" s="71" t="s">
        <v>72</v>
      </c>
      <c r="D16" s="15">
        <f>VLOOKUP(B16,'point distribution'!$A$1:$Z$197,24,0)</f>
        <v>0</v>
      </c>
      <c r="E16" s="5"/>
      <c r="F16" s="5"/>
      <c r="G16" s="14"/>
      <c r="H16" s="71" t="s">
        <v>72</v>
      </c>
    </row>
    <row r="17" spans="1:8" x14ac:dyDescent="0.2">
      <c r="A17" s="5">
        <v>14</v>
      </c>
      <c r="B17" s="14" t="s">
        <v>138</v>
      </c>
      <c r="C17" s="71" t="s">
        <v>73</v>
      </c>
      <c r="D17" s="15">
        <f>VLOOKUP(B17,'point distribution'!$A$1:$Z$197,24,0)</f>
        <v>0</v>
      </c>
      <c r="E17" s="5"/>
      <c r="F17" s="5"/>
      <c r="G17" s="14"/>
      <c r="H17" s="71" t="s">
        <v>73</v>
      </c>
    </row>
    <row r="18" spans="1:8" x14ac:dyDescent="0.2">
      <c r="A18" s="5">
        <v>15</v>
      </c>
      <c r="B18" s="14" t="s">
        <v>162</v>
      </c>
      <c r="C18" s="71" t="s">
        <v>74</v>
      </c>
      <c r="D18" s="15">
        <f>VLOOKUP(B18,'point distribution'!$A$1:$Z$197,24,0)</f>
        <v>0</v>
      </c>
      <c r="E18" s="5"/>
      <c r="F18" s="5"/>
      <c r="G18" s="14"/>
      <c r="H18" s="71" t="s">
        <v>74</v>
      </c>
    </row>
    <row r="19" spans="1:8" x14ac:dyDescent="0.2">
      <c r="A19" s="5">
        <v>16</v>
      </c>
      <c r="B19" s="14" t="s">
        <v>94</v>
      </c>
      <c r="C19" s="71" t="s">
        <v>75</v>
      </c>
      <c r="D19" s="15">
        <f>VLOOKUP(B19,'point distribution'!$A$1:$Z$197,24,0)</f>
        <v>99</v>
      </c>
      <c r="E19" s="5"/>
      <c r="F19" s="5"/>
      <c r="G19" s="14"/>
      <c r="H19" s="71" t="s">
        <v>75</v>
      </c>
    </row>
    <row r="20" spans="1:8" x14ac:dyDescent="0.2">
      <c r="A20" s="5">
        <v>17</v>
      </c>
      <c r="B20" s="14" t="s">
        <v>118</v>
      </c>
      <c r="C20" s="71" t="s">
        <v>1</v>
      </c>
      <c r="D20" s="15">
        <f>VLOOKUP(B20,'point distribution'!$A$1:$Z$197,24,0)</f>
        <v>0</v>
      </c>
      <c r="E20" s="5"/>
      <c r="F20" s="5"/>
      <c r="G20" s="14"/>
      <c r="H20" s="71" t="s">
        <v>1</v>
      </c>
    </row>
    <row r="21" spans="1:8" x14ac:dyDescent="0.2">
      <c r="A21" s="5">
        <v>18</v>
      </c>
      <c r="B21" s="14" t="s">
        <v>234</v>
      </c>
      <c r="C21" s="71" t="s">
        <v>76</v>
      </c>
      <c r="D21" s="15">
        <f>VLOOKUP(B21,'point distribution'!$A$1:$Z$197,24,0)</f>
        <v>2</v>
      </c>
      <c r="E21" s="5"/>
      <c r="F21" s="5"/>
      <c r="G21" s="14"/>
      <c r="H21" s="71" t="s">
        <v>76</v>
      </c>
    </row>
    <row r="22" spans="1:8" x14ac:dyDescent="0.2">
      <c r="A22" s="5">
        <v>20</v>
      </c>
      <c r="B22" s="14" t="s">
        <v>120</v>
      </c>
      <c r="C22" s="71" t="s">
        <v>77</v>
      </c>
      <c r="D22" s="15">
        <f>VLOOKUP(B22,'point distribution'!$A$1:$Z$197,24,0)</f>
        <v>3</v>
      </c>
      <c r="E22" s="5"/>
      <c r="F22" s="5"/>
      <c r="G22" s="14"/>
      <c r="H22" s="71" t="s">
        <v>77</v>
      </c>
    </row>
    <row r="23" spans="1:8" x14ac:dyDescent="0.2">
      <c r="A23" s="5">
        <v>21</v>
      </c>
      <c r="B23" s="14" t="s">
        <v>98</v>
      </c>
      <c r="C23" s="71" t="s">
        <v>78</v>
      </c>
      <c r="D23" s="15">
        <f>VLOOKUP(B23,'point distribution'!$A$1:$Z$197,24,0)</f>
        <v>147</v>
      </c>
      <c r="E23" s="5"/>
      <c r="F23" s="5"/>
      <c r="G23" s="14"/>
      <c r="H23" s="71" t="s">
        <v>78</v>
      </c>
    </row>
    <row r="24" spans="1:8" x14ac:dyDescent="0.2">
      <c r="A24" s="5">
        <v>22</v>
      </c>
      <c r="B24" s="14" t="s">
        <v>259</v>
      </c>
      <c r="C24" s="71" t="s">
        <v>79</v>
      </c>
      <c r="D24" s="15">
        <f>VLOOKUP(B24,'point distribution'!$A$1:$Z$197,24,0)</f>
        <v>5</v>
      </c>
      <c r="E24" s="5"/>
      <c r="F24" s="5"/>
      <c r="G24" s="14"/>
      <c r="H24" s="71" t="s">
        <v>79</v>
      </c>
    </row>
    <row r="25" spans="1:8" x14ac:dyDescent="0.2">
      <c r="A25" s="5">
        <v>23</v>
      </c>
      <c r="B25" s="14" t="s">
        <v>238</v>
      </c>
      <c r="C25" s="71" t="s">
        <v>80</v>
      </c>
      <c r="D25" s="15">
        <f>VLOOKUP(B25,'point distribution'!$A$1:$Z$197,24,0)</f>
        <v>0</v>
      </c>
      <c r="E25" s="5"/>
      <c r="F25" s="5"/>
      <c r="G25" s="14"/>
      <c r="H25" s="71" t="s">
        <v>80</v>
      </c>
    </row>
    <row r="26" spans="1:8" x14ac:dyDescent="0.2">
      <c r="A26" s="5">
        <v>24</v>
      </c>
      <c r="B26" s="14" t="s">
        <v>261</v>
      </c>
      <c r="C26" s="71" t="s">
        <v>81</v>
      </c>
      <c r="D26" s="15">
        <f>VLOOKUP(B26,'point distribution'!$A$1:$Z$197,24,0)</f>
        <v>24</v>
      </c>
      <c r="E26" s="5"/>
      <c r="F26" s="5"/>
      <c r="G26" s="14"/>
      <c r="H26" s="71" t="s">
        <v>81</v>
      </c>
    </row>
    <row r="27" spans="1:8" x14ac:dyDescent="0.2">
      <c r="A27" s="5"/>
      <c r="D27" s="5"/>
      <c r="E27" s="5"/>
      <c r="F27" s="5"/>
      <c r="G27" s="5"/>
      <c r="H27" s="5"/>
    </row>
    <row r="28" spans="1:8" x14ac:dyDescent="0.2">
      <c r="A28" s="5"/>
      <c r="B28" s="17" t="s">
        <v>26</v>
      </c>
      <c r="C28" s="5"/>
      <c r="D28" s="5"/>
      <c r="E28" s="5"/>
      <c r="F28" s="5"/>
      <c r="G28" s="5"/>
      <c r="H28" s="5"/>
    </row>
    <row r="29" spans="1:8" x14ac:dyDescent="0.2">
      <c r="A29" s="5"/>
      <c r="B29" s="18" t="s">
        <v>27</v>
      </c>
      <c r="C29" s="32"/>
      <c r="D29" s="15"/>
      <c r="E29" s="5"/>
      <c r="F29" s="5"/>
      <c r="G29" s="5"/>
      <c r="H29" s="5"/>
    </row>
    <row r="30" spans="1:8" x14ac:dyDescent="0.2">
      <c r="A30" s="5"/>
      <c r="B30" s="19" t="s">
        <v>28</v>
      </c>
      <c r="C30" s="27"/>
      <c r="D30" s="15"/>
      <c r="E30" s="5"/>
      <c r="F30" s="5"/>
      <c r="G30" s="5"/>
      <c r="H30" s="5"/>
    </row>
    <row r="31" spans="1:8" x14ac:dyDescent="0.2">
      <c r="A31" s="5"/>
      <c r="B31" s="19" t="s">
        <v>20</v>
      </c>
      <c r="C31" s="27"/>
      <c r="D31" s="15"/>
      <c r="E31" s="5"/>
      <c r="F31" s="5"/>
      <c r="G31" s="5"/>
      <c r="H31" s="5"/>
    </row>
    <row r="32" spans="1:8" x14ac:dyDescent="0.2">
      <c r="A32" s="5"/>
      <c r="B32" s="19" t="s">
        <v>29</v>
      </c>
      <c r="C32" s="27"/>
      <c r="D32" s="15"/>
      <c r="E32" s="5"/>
      <c r="F32" s="5"/>
      <c r="G32" s="5"/>
      <c r="H32" s="5"/>
    </row>
    <row r="33" spans="1:8" ht="13.5" thickBot="1" x14ac:dyDescent="0.25">
      <c r="A33" s="5"/>
      <c r="B33" s="17"/>
      <c r="C33" s="5"/>
      <c r="D33" s="5"/>
      <c r="E33" s="5"/>
      <c r="F33" s="5"/>
      <c r="G33" s="5"/>
      <c r="H33" s="5"/>
    </row>
    <row r="34" spans="1:8" ht="13.5" thickBot="1" x14ac:dyDescent="0.25">
      <c r="A34" s="5"/>
      <c r="D34" s="28">
        <f>SUM(D4:D32)</f>
        <v>1835</v>
      </c>
      <c r="E34" s="5" t="s">
        <v>41</v>
      </c>
      <c r="F34" s="5"/>
      <c r="G34" s="5"/>
      <c r="H34" s="5"/>
    </row>
    <row r="35" spans="1:8" x14ac:dyDescent="0.2">
      <c r="A35" s="5"/>
      <c r="B35" s="17" t="s">
        <v>42</v>
      </c>
      <c r="C35" s="5"/>
      <c r="D35" s="5"/>
      <c r="E35" s="5"/>
      <c r="F35" s="5"/>
      <c r="G35" s="5"/>
      <c r="H35" s="5"/>
    </row>
    <row r="36" spans="1:8" x14ac:dyDescent="0.2">
      <c r="A36" s="5"/>
      <c r="B36" s="16" t="s">
        <v>43</v>
      </c>
      <c r="C36" s="27">
        <v>23</v>
      </c>
      <c r="D36" s="5"/>
      <c r="E36" s="5"/>
      <c r="F36" s="5"/>
      <c r="G36" s="5"/>
      <c r="H36" s="5"/>
    </row>
    <row r="37" spans="1:8" x14ac:dyDescent="0.2">
      <c r="A37" s="5"/>
      <c r="B37" s="15" t="s">
        <v>44</v>
      </c>
      <c r="C37" s="14">
        <v>25</v>
      </c>
      <c r="D37" s="5"/>
      <c r="E37" s="5"/>
      <c r="F37" s="5"/>
      <c r="G37" s="5"/>
      <c r="H37" s="5"/>
    </row>
    <row r="38" spans="1:8" x14ac:dyDescent="0.2">
      <c r="A38" s="5"/>
      <c r="B38" s="15" t="s">
        <v>45</v>
      </c>
      <c r="C38" s="14">
        <v>34</v>
      </c>
      <c r="D38" s="5"/>
      <c r="E38" s="5"/>
      <c r="F38" s="5"/>
      <c r="G38" s="5"/>
      <c r="H38" s="5"/>
    </row>
    <row r="39" spans="1:8" x14ac:dyDescent="0.2">
      <c r="A39" s="5"/>
      <c r="B39" s="5"/>
      <c r="C39" s="5"/>
      <c r="D39" s="5"/>
      <c r="E39" s="5"/>
      <c r="F39" s="5"/>
      <c r="G39" s="5"/>
      <c r="H39" s="5"/>
    </row>
    <row r="40" spans="1:8" x14ac:dyDescent="0.2">
      <c r="A40" s="5"/>
      <c r="B40" s="5"/>
      <c r="C40" s="5"/>
      <c r="D40" s="5"/>
      <c r="E40" s="5"/>
      <c r="F40" s="5"/>
      <c r="G40" s="5"/>
      <c r="H40" s="5"/>
    </row>
    <row r="41" spans="1:8" x14ac:dyDescent="0.2">
      <c r="A41" s="5"/>
      <c r="B41" s="5"/>
      <c r="C41" s="5"/>
      <c r="D41" s="5"/>
      <c r="E41" s="5"/>
      <c r="F41" s="5"/>
      <c r="G41" s="5"/>
      <c r="H41" s="5"/>
    </row>
    <row r="42" spans="1:8" x14ac:dyDescent="0.2">
      <c r="A42" s="5"/>
      <c r="B42" s="5"/>
      <c r="C42" s="5"/>
      <c r="D42" s="5"/>
      <c r="E42" s="5"/>
      <c r="F42" s="5"/>
      <c r="G42" s="5"/>
      <c r="H42" s="5"/>
    </row>
    <row r="43" spans="1:8" x14ac:dyDescent="0.2">
      <c r="A43" s="5"/>
      <c r="B43" s="5"/>
      <c r="C43" s="5"/>
      <c r="D43" s="5"/>
      <c r="E43" s="5"/>
      <c r="F43" s="5"/>
      <c r="G43" s="5"/>
      <c r="H43" s="5"/>
    </row>
    <row r="44" spans="1:8" x14ac:dyDescent="0.2">
      <c r="A44" s="5"/>
      <c r="B44" s="5"/>
      <c r="C44" s="5"/>
      <c r="D44" s="5"/>
      <c r="E44" s="5"/>
      <c r="F44" s="5"/>
      <c r="G44" s="5"/>
      <c r="H44" s="5"/>
    </row>
    <row r="45" spans="1:8" x14ac:dyDescent="0.2">
      <c r="A45" s="5"/>
      <c r="B45" s="5"/>
      <c r="C45" s="5"/>
      <c r="D45" s="5"/>
      <c r="E45" s="5"/>
      <c r="F45" s="5"/>
      <c r="G45" s="5"/>
      <c r="H45" s="5"/>
    </row>
    <row r="46" spans="1:8" x14ac:dyDescent="0.2">
      <c r="A46" s="5"/>
      <c r="B46" s="5"/>
      <c r="C46" s="5"/>
      <c r="D46" s="5"/>
      <c r="E46" s="5"/>
      <c r="F46" s="5"/>
      <c r="G46" s="5"/>
      <c r="H46" s="5"/>
    </row>
    <row r="47" spans="1:8" x14ac:dyDescent="0.2">
      <c r="A47" s="5"/>
      <c r="B47" s="5"/>
      <c r="C47" s="5"/>
      <c r="D47" s="5"/>
      <c r="E47" s="5"/>
      <c r="F47" s="5"/>
      <c r="G47" s="5"/>
      <c r="H47" s="5"/>
    </row>
    <row r="48" spans="1:8" x14ac:dyDescent="0.2">
      <c r="A48" s="5"/>
      <c r="B48" s="5"/>
      <c r="C48" s="5"/>
      <c r="D48" s="5"/>
      <c r="E48" s="5"/>
      <c r="F48" s="5"/>
      <c r="G48" s="5"/>
      <c r="H48" s="5"/>
    </row>
    <row r="49" spans="1:8" x14ac:dyDescent="0.2">
      <c r="A49" s="5"/>
      <c r="B49" s="5"/>
      <c r="C49" s="5"/>
      <c r="D49" s="5"/>
      <c r="E49" s="5"/>
      <c r="F49" s="5"/>
      <c r="G49" s="5"/>
      <c r="H49" s="5"/>
    </row>
    <row r="50" spans="1:8" x14ac:dyDescent="0.2">
      <c r="A50" s="5"/>
      <c r="B50" s="5"/>
      <c r="C50" s="5"/>
      <c r="D50" s="5"/>
      <c r="E50" s="5"/>
      <c r="F50" s="5"/>
      <c r="G50" s="5"/>
      <c r="H50" s="5"/>
    </row>
    <row r="51" spans="1:8" x14ac:dyDescent="0.2">
      <c r="A51" s="5"/>
      <c r="B51" s="5"/>
      <c r="C51" s="5"/>
      <c r="D51" s="5"/>
      <c r="E51" s="5"/>
      <c r="F51" s="5"/>
      <c r="G51" s="5"/>
      <c r="H51" s="5"/>
    </row>
    <row r="52" spans="1:8" x14ac:dyDescent="0.2">
      <c r="A52" s="5"/>
      <c r="B52" s="5"/>
      <c r="C52" s="5"/>
      <c r="D52" s="5"/>
      <c r="E52" s="5"/>
      <c r="F52" s="5"/>
      <c r="G52" s="5"/>
      <c r="H52" s="5"/>
    </row>
    <row r="53" spans="1:8" x14ac:dyDescent="0.2">
      <c r="A53" s="5"/>
      <c r="B53" s="5"/>
      <c r="C53" s="5"/>
      <c r="D53" s="5"/>
      <c r="E53" s="5"/>
      <c r="F53" s="5"/>
      <c r="G53" s="5"/>
      <c r="H53" s="5"/>
    </row>
    <row r="54" spans="1:8" x14ac:dyDescent="0.2">
      <c r="A54" s="5"/>
      <c r="B54" s="5"/>
      <c r="C54" s="5"/>
      <c r="D54" s="5"/>
      <c r="E54" s="5"/>
      <c r="F54" s="5"/>
      <c r="G54" s="5"/>
      <c r="H54" s="5"/>
    </row>
    <row r="55" spans="1:8" x14ac:dyDescent="0.2">
      <c r="A55" s="5"/>
      <c r="B55" s="5"/>
      <c r="C55" s="5"/>
      <c r="D55" s="5"/>
      <c r="E55" s="5"/>
      <c r="F55" s="5"/>
      <c r="G55" s="5"/>
      <c r="H55" s="5"/>
    </row>
    <row r="56" spans="1:8" x14ac:dyDescent="0.2">
      <c r="A56" s="5"/>
      <c r="B56" s="5"/>
      <c r="C56" s="5"/>
      <c r="D56" s="5"/>
      <c r="E56" s="5"/>
      <c r="F56" s="5"/>
      <c r="G56" s="5"/>
      <c r="H56" s="5"/>
    </row>
    <row r="57" spans="1:8" x14ac:dyDescent="0.2">
      <c r="A57" s="5"/>
      <c r="B57" s="5"/>
      <c r="C57" s="5"/>
      <c r="D57" s="5"/>
      <c r="E57" s="5"/>
      <c r="F57" s="5"/>
      <c r="G57" s="5"/>
      <c r="H57" s="5"/>
    </row>
    <row r="58" spans="1:8" x14ac:dyDescent="0.2">
      <c r="A58" s="5"/>
      <c r="B58" s="5"/>
      <c r="C58" s="5"/>
      <c r="D58" s="5"/>
      <c r="E58" s="5"/>
      <c r="F58" s="5"/>
      <c r="G58" s="5"/>
      <c r="H58" s="5"/>
    </row>
    <row r="59" spans="1:8" x14ac:dyDescent="0.2">
      <c r="A59" s="5"/>
      <c r="B59" s="5"/>
      <c r="C59" s="5"/>
      <c r="D59" s="5"/>
      <c r="E59" s="5"/>
      <c r="F59" s="5"/>
      <c r="G59" s="5"/>
      <c r="H59" s="5"/>
    </row>
    <row r="60" spans="1:8" x14ac:dyDescent="0.2">
      <c r="A60" s="5"/>
      <c r="B60" s="5"/>
      <c r="C60" s="5"/>
      <c r="D60" s="5"/>
      <c r="E60" s="5"/>
      <c r="F60" s="5"/>
      <c r="G60" s="5"/>
      <c r="H60" s="5"/>
    </row>
    <row r="61" spans="1:8" x14ac:dyDescent="0.2">
      <c r="A61" s="5"/>
      <c r="B61" s="5"/>
      <c r="C61" s="5"/>
      <c r="D61" s="5"/>
      <c r="E61" s="5"/>
      <c r="F61" s="5"/>
      <c r="G61" s="5"/>
      <c r="H61" s="5"/>
    </row>
    <row r="62" spans="1:8" x14ac:dyDescent="0.2">
      <c r="A62" s="5"/>
      <c r="B62" s="5"/>
      <c r="C62" s="5"/>
      <c r="D62" s="5"/>
      <c r="E62" s="5"/>
      <c r="F62" s="5"/>
      <c r="G62" s="5"/>
      <c r="H62" s="5"/>
    </row>
    <row r="63" spans="1:8" x14ac:dyDescent="0.2">
      <c r="A63" s="5"/>
      <c r="B63" s="5"/>
      <c r="C63" s="5"/>
      <c r="D63" s="5"/>
      <c r="E63" s="5"/>
      <c r="F63" s="5"/>
      <c r="G63" s="5"/>
      <c r="H63" s="5"/>
    </row>
    <row r="64" spans="1:8" x14ac:dyDescent="0.2">
      <c r="A64" s="5"/>
      <c r="B64" s="5"/>
      <c r="C64" s="5"/>
      <c r="D64" s="5"/>
      <c r="E64" s="5"/>
      <c r="F64" s="5"/>
      <c r="G64" s="5"/>
      <c r="H64" s="5"/>
    </row>
    <row r="65" spans="1:8" x14ac:dyDescent="0.2">
      <c r="A65" s="5"/>
      <c r="B65" s="5"/>
      <c r="C65" s="5"/>
      <c r="D65" s="5"/>
      <c r="E65" s="5"/>
      <c r="F65" s="5"/>
      <c r="G65" s="5"/>
      <c r="H65" s="5"/>
    </row>
    <row r="66" spans="1:8" x14ac:dyDescent="0.2">
      <c r="A66" s="5"/>
      <c r="B66" s="5"/>
      <c r="C66" s="5"/>
      <c r="D66" s="5"/>
      <c r="E66" s="5"/>
      <c r="F66" s="5"/>
      <c r="G66" s="5"/>
      <c r="H66" s="5"/>
    </row>
    <row r="67" spans="1:8" x14ac:dyDescent="0.2">
      <c r="A67" s="5"/>
      <c r="B67" s="5"/>
      <c r="C67" s="5"/>
      <c r="D67" s="5"/>
      <c r="E67" s="5"/>
      <c r="F67" s="5"/>
      <c r="G67" s="5"/>
      <c r="H67" s="5"/>
    </row>
    <row r="68" spans="1:8" x14ac:dyDescent="0.2">
      <c r="A68" s="5"/>
      <c r="B68" s="5"/>
      <c r="C68" s="5"/>
      <c r="D68" s="5"/>
      <c r="E68" s="5"/>
      <c r="F68" s="5"/>
      <c r="G68" s="5"/>
      <c r="H6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rules</vt:lpstr>
      <vt:lpstr>riders</vt:lpstr>
      <vt:lpstr>point distribution</vt:lpstr>
      <vt:lpstr>participants</vt:lpstr>
      <vt:lpstr>standings</vt:lpstr>
      <vt:lpstr>Player B</vt:lpstr>
      <vt:lpstr>Player A</vt:lpstr>
    </vt:vector>
  </TitlesOfParts>
  <Company>ASZ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EPoels</dc:creator>
  <cp:lastModifiedBy>Daniel de Bondt</cp:lastModifiedBy>
  <cp:lastPrinted>2020-08-26T09:41:18Z</cp:lastPrinted>
  <dcterms:created xsi:type="dcterms:W3CDTF">2002-06-27T11:31:34Z</dcterms:created>
  <dcterms:modified xsi:type="dcterms:W3CDTF">2026-02-04T10:39:09Z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code">
    <vt:lpwstr/>
  </property>
  <property fmtid="{D5CDD505-2E9C-101B-9397-08002B2CF9AE}" pid="3" name="Ontvangen van">
    <vt:lpwstr/>
  </property>
  <property fmtid="{D5CDD505-2E9C-101B-9397-08002B2CF9AE}" pid="4" name="ContentType">
    <vt:lpwstr>Document</vt:lpwstr>
  </property>
  <property fmtid="{D5CDD505-2E9C-101B-9397-08002B2CF9AE}" pid="5" name="Documenttype">
    <vt:lpwstr>0</vt:lpwstr>
  </property>
</Properties>
</file>